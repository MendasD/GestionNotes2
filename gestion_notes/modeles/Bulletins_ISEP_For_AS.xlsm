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showHorizontalScroll="0" showVerticalScroll="0" windowWidth="20490" windowHeight="8385" activeTab="6"/>
  </bookViews>
  <sheets>
    <sheet name="Semestre1" sheetId="3" r:id="rId1"/>
    <sheet name="Feuil1 (2)" sheetId="9" state="hidden" r:id="rId2"/>
    <sheet name="Semestre2" sheetId="11" r:id="rId3"/>
    <sheet name="bulletin_ISEP1" sheetId="1" r:id="rId4"/>
    <sheet name="Semestre3" sheetId="12" r:id="rId5"/>
    <sheet name="Semestre4" sheetId="13" r:id="rId6"/>
    <sheet name="bulletin_ISEP2" sheetId="14" r:id="rId7"/>
  </sheets>
  <externalReferences>
    <externalReference r:id="rId8"/>
  </externalReferences>
  <definedNames>
    <definedName name="_xlnm.Print_Area" localSheetId="3">bulletin_ISEP1!$B$1:$F$57</definedName>
    <definedName name="_xlnm.Print_Area" localSheetId="6">bulletin_ISEP2!$B$1:$F$57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hp</author>
  </authors>
  <commentList>
    <comment ref="C14" authorId="0">
      <text>
        <r>
          <rPr>
            <b/>
            <sz val="9"/>
            <rFont val="Tahoma"/>
            <charset val="134"/>
          </rPr>
          <t>hp:</t>
        </r>
        <r>
          <rPr>
            <sz val="9"/>
            <rFont val="Tahoma"/>
            <charset val="134"/>
          </rPr>
          <t xml:space="preserve">
25 à 30h</t>
        </r>
      </text>
    </comment>
    <comment ref="D14" authorId="0">
      <text>
        <r>
          <rPr>
            <b/>
            <sz val="9"/>
            <rFont val="Tahoma"/>
            <charset val="134"/>
          </rPr>
          <t>hp:</t>
        </r>
        <r>
          <rPr>
            <sz val="9"/>
            <rFont val="Tahoma"/>
            <charset val="134"/>
          </rPr>
          <t xml:space="preserve">
25 à 30h</t>
        </r>
      </text>
    </comment>
  </commentList>
</comments>
</file>

<file path=xl/sharedStrings.xml><?xml version="1.0" encoding="utf-8"?>
<sst xmlns="http://schemas.openxmlformats.org/spreadsheetml/2006/main" count="556" uniqueCount="177">
  <si>
    <t>Matières</t>
  </si>
  <si>
    <t>Mathématiques 1</t>
  </si>
  <si>
    <t>ECONOMIE 1</t>
  </si>
  <si>
    <t>Statistique 1</t>
  </si>
  <si>
    <t>Informatique 3</t>
  </si>
  <si>
    <t>Langue et expression 1</t>
  </si>
  <si>
    <t>Rang</t>
  </si>
  <si>
    <t>Algèbre 1</t>
  </si>
  <si>
    <t>Analyse 1</t>
  </si>
  <si>
    <t>Calcul des probabilités</t>
  </si>
  <si>
    <t>Economie Descriptive</t>
  </si>
  <si>
    <t>Comptabilité des entreprises</t>
  </si>
  <si>
    <t>Statistique descriptive I</t>
  </si>
  <si>
    <t>Statistique descriptive II</t>
  </si>
  <si>
    <t>Environnement bureautique et TIC</t>
  </si>
  <si>
    <t xml:space="preserve">Algorithmique et programmation 1 </t>
  </si>
  <si>
    <t>Technique d'expression</t>
  </si>
  <si>
    <t>Anglais</t>
  </si>
  <si>
    <t>N°</t>
  </si>
  <si>
    <t>Matricule</t>
  </si>
  <si>
    <t>Prénom Nom</t>
  </si>
  <si>
    <t>Nationalité</t>
  </si>
  <si>
    <t>Date de naissance</t>
  </si>
  <si>
    <t>Note1</t>
  </si>
  <si>
    <t>Note2</t>
  </si>
  <si>
    <t>Moyenne</t>
  </si>
  <si>
    <t>Moy Générale</t>
  </si>
  <si>
    <t>Cheikh THIOUB</t>
  </si>
  <si>
    <t>Senegalaise</t>
  </si>
  <si>
    <t>Herman Parfait NGAKE YAMAHA</t>
  </si>
  <si>
    <t>Camerounaise</t>
  </si>
  <si>
    <t>David Frank NGUEAJIO DONGMO</t>
  </si>
  <si>
    <t>Astou DIOP</t>
  </si>
  <si>
    <t>David Landry AGNANGMA SANAM</t>
  </si>
  <si>
    <t>Senou Michel-Marie Tresor TEVOEDJRE</t>
  </si>
  <si>
    <t>Beninoise</t>
  </si>
  <si>
    <t>Mouhamet SECK</t>
  </si>
  <si>
    <t>Leslye Patricia NKWA TSAMO</t>
  </si>
  <si>
    <t>Kadidja GUEBEDIANG A NKEN</t>
  </si>
  <si>
    <t>Cheikh Ahmadou Bamba FALL</t>
  </si>
  <si>
    <t>Math SOCE</t>
  </si>
  <si>
    <t>Mareme DIOP</t>
  </si>
  <si>
    <t>Cheikh Mouhamadou Moustapha NDIAYE</t>
  </si>
  <si>
    <t>Joo Young Veridique Gabriel DIOP</t>
  </si>
  <si>
    <t>Mamadou Lamine DIABANG</t>
  </si>
  <si>
    <t>Gérald Guerngué ADDJITA</t>
  </si>
  <si>
    <t>Tchadienne</t>
  </si>
  <si>
    <t>Trésor RIRADJIM NGARMOUNDOU</t>
  </si>
  <si>
    <t>Abdoul Kader  ZONGO</t>
  </si>
  <si>
    <t>Burkinabe</t>
  </si>
  <si>
    <t>Année 1</t>
  </si>
  <si>
    <t>Semestre 1</t>
  </si>
  <si>
    <t>Mathématiques I</t>
  </si>
  <si>
    <t>Analyse  1</t>
  </si>
  <si>
    <t>Economie I</t>
  </si>
  <si>
    <t>Statistique I</t>
  </si>
  <si>
    <t>Informatique I</t>
  </si>
  <si>
    <t>Langue et expression I</t>
  </si>
  <si>
    <t>Technique d'Expression</t>
  </si>
  <si>
    <t>Semestre 2</t>
  </si>
  <si>
    <t>Mathématiques II</t>
  </si>
  <si>
    <t>Algèbre 2</t>
  </si>
  <si>
    <t>Analyse 2</t>
  </si>
  <si>
    <t>Théorie des probabilités 1</t>
  </si>
  <si>
    <t>Economie II</t>
  </si>
  <si>
    <t>Histoire de la pensée économique</t>
  </si>
  <si>
    <t>Introduction à la macroéconomie</t>
  </si>
  <si>
    <t>Statistique II</t>
  </si>
  <si>
    <t>Projet statistique</t>
  </si>
  <si>
    <t>Logiciels statistiques I (SPSS, STATA)</t>
  </si>
  <si>
    <t>Analyse descriptive des séries temporelles</t>
  </si>
  <si>
    <t>Informatique II</t>
  </si>
  <si>
    <t>Algorithmique et programmation 2 avec python</t>
  </si>
  <si>
    <t xml:space="preserve">Excel </t>
  </si>
  <si>
    <t>Langue et expression II</t>
  </si>
  <si>
    <t>Mathématiques 2</t>
  </si>
  <si>
    <t>ECONOMIE 2</t>
  </si>
  <si>
    <t>Statistique 2</t>
  </si>
  <si>
    <t>Théorie des probabilités</t>
  </si>
  <si>
    <t>Moy Semestre</t>
  </si>
  <si>
    <t>Moy générale</t>
  </si>
  <si>
    <t>Ecole nationale de la Statistique et de l'Analyse économique Pierre NDIAYE
ENSAE</t>
  </si>
  <si>
    <t>Année académique 2022-2023</t>
  </si>
  <si>
    <t>BULLETIN DE NOTES</t>
  </si>
  <si>
    <t>INGENIEURS STATISTICIENS ECONOMISTES PREPA.</t>
  </si>
  <si>
    <t>1e année</t>
  </si>
  <si>
    <t>Né (e) le :</t>
  </si>
  <si>
    <t>Nationalité :</t>
  </si>
  <si>
    <t>Première inscription :</t>
  </si>
  <si>
    <t>oct-23</t>
  </si>
  <si>
    <t>PREMIER SEMESTRE</t>
  </si>
  <si>
    <t>Notes</t>
  </si>
  <si>
    <t>Crédits</t>
  </si>
  <si>
    <t>UE Mathématiques 1</t>
  </si>
  <si>
    <t>UE Economie 1</t>
  </si>
  <si>
    <t>UE Statistique 1</t>
  </si>
  <si>
    <t>UE Informatique 1</t>
  </si>
  <si>
    <t>UE Langue et Expression 1</t>
  </si>
  <si>
    <t>DEUXIEME SEMESTRE</t>
  </si>
  <si>
    <t>UE Mathématiques 2</t>
  </si>
  <si>
    <t>UE Economie 2</t>
  </si>
  <si>
    <t>UE Statistique 2</t>
  </si>
  <si>
    <t>UE Informatique 2</t>
  </si>
  <si>
    <t>Algorithmique et programmation 2</t>
  </si>
  <si>
    <t>UE Langue et Expression 2</t>
  </si>
  <si>
    <t>Pénalité des abscences sur la moyenne</t>
  </si>
  <si>
    <t>MOYENNE ANNUELLE</t>
  </si>
  <si>
    <t>Classement général :</t>
  </si>
  <si>
    <t>/18</t>
  </si>
  <si>
    <t>APPRECIATION DU JURY :</t>
  </si>
  <si>
    <t>Nombre d'heures d'abscence non justifiées</t>
  </si>
  <si>
    <t xml:space="preserve">Fait à Dakar, le : </t>
  </si>
  <si>
    <t>Mathématiques 3</t>
  </si>
  <si>
    <t>ECONOMIE 3</t>
  </si>
  <si>
    <t>Statistique 3</t>
  </si>
  <si>
    <t>Langue et expression 3</t>
  </si>
  <si>
    <t>Algèbre 3</t>
  </si>
  <si>
    <t>Analyse 3</t>
  </si>
  <si>
    <t>Convexité et optimisation</t>
  </si>
  <si>
    <t>Problèmes économiques contemporains</t>
  </si>
  <si>
    <t>Microéconomie 1</t>
  </si>
  <si>
    <t>Pratique des enquêtes 1 - Méthodologie</t>
  </si>
  <si>
    <t>Statistiques de l'éducation</t>
  </si>
  <si>
    <t>Programmation sous VBA</t>
  </si>
  <si>
    <t>Initiation à la géomatique</t>
  </si>
  <si>
    <t>Technique d'expression 3</t>
  </si>
  <si>
    <t>Anglais 3</t>
  </si>
  <si>
    <t>Prénom nom</t>
  </si>
  <si>
    <t>Khadidiatou COULIBALY</t>
  </si>
  <si>
    <t>Sénégalaise</t>
  </si>
  <si>
    <t>Sarah-Laure FOGWOUNG DJOUFACK</t>
  </si>
  <si>
    <t>Malick SENE</t>
  </si>
  <si>
    <t>Ameth FAYE</t>
  </si>
  <si>
    <t>Awa DIAW</t>
  </si>
  <si>
    <t>Tamsir NDONG</t>
  </si>
  <si>
    <t>Khadidiatou DIAKHATE</t>
  </si>
  <si>
    <t>Ahmadou NIASS</t>
  </si>
  <si>
    <t>Papa Amadou NIANG</t>
  </si>
  <si>
    <t>Celina NGUEMFOUO NGOUMTSA</t>
  </si>
  <si>
    <t>Samba DIENG</t>
  </si>
  <si>
    <t>Jeanne De La Fleche ONANENA AMANA</t>
  </si>
  <si>
    <t>Mama Balla BOUSSO</t>
  </si>
  <si>
    <t>Alioune Abdou Salam KANE</t>
  </si>
  <si>
    <t>Hildegarde EDIMA BIYENDA</t>
  </si>
  <si>
    <t>Ange Emilson Rayan RAHERINASOLO</t>
  </si>
  <si>
    <t>Malgache</t>
  </si>
  <si>
    <t>Mathématiques 4</t>
  </si>
  <si>
    <t>ECONOMIE 4</t>
  </si>
  <si>
    <t>Statistique 4</t>
  </si>
  <si>
    <t>Informatique 4</t>
  </si>
  <si>
    <t>Mathématiques financières</t>
  </si>
  <si>
    <t>Topologie</t>
  </si>
  <si>
    <t>Comportements microéconomiques (Micro 2)</t>
  </si>
  <si>
    <t>Macroéconomie 2</t>
  </si>
  <si>
    <t>Dossiers et exposés d'économie</t>
  </si>
  <si>
    <t>Statistiques de la santé</t>
  </si>
  <si>
    <t>Statistiques des entreprises</t>
  </si>
  <si>
    <t>Statistiques agricoles</t>
  </si>
  <si>
    <t>Algorithmique et programmation avec C et C+</t>
  </si>
  <si>
    <t>Traitements statistiques avec R</t>
  </si>
  <si>
    <t>Initiation au Machine Learning</t>
  </si>
  <si>
    <t>Technique d'expression 4</t>
  </si>
  <si>
    <t>Anglais 4</t>
  </si>
  <si>
    <t>absence</t>
  </si>
  <si>
    <t>2e année</t>
  </si>
  <si>
    <t>UE Mathématiques 3</t>
  </si>
  <si>
    <t>UE Economie 3</t>
  </si>
  <si>
    <t>UE Statistique 3</t>
  </si>
  <si>
    <t>UE Informatique 3</t>
  </si>
  <si>
    <t>UE Langue et Expression 3</t>
  </si>
  <si>
    <t>UE Mathématiques 4</t>
  </si>
  <si>
    <t>Mathématiques financieres</t>
  </si>
  <si>
    <t>UE Economie 4</t>
  </si>
  <si>
    <t>UE Statistique 4</t>
  </si>
  <si>
    <t>UE Informatique 4</t>
  </si>
  <si>
    <t>UE Langue et Expression 4</t>
  </si>
  <si>
    <t>/16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</si>
</sst>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_-* #,##0\ _C_F_A_-;\-* #,##0\ _C_F_A_-;_-* &quot;-&quot;\ _C_F_A_-;_-@_-"/>
    <numFmt numFmtId="178" formatCode="[$-40C]mmm\-yy;@"/>
    <numFmt numFmtId="179" formatCode="0.00;\-0.00;&quot;-&quot;"/>
    <numFmt numFmtId="180" formatCode="d\ mmmm\ yyyy"/>
    <numFmt numFmtId="181" formatCode="00.0"/>
    <numFmt numFmtId="182" formatCode="_(* #,##0_);_(* \(#,##0\);_(* &quot;-&quot;??_);_(@_)"/>
    <numFmt numFmtId="183" formatCode="_-* #,##0_-;\-* #,##0_-;_-* &quot;-&quot;??_-;_-@_-"/>
  </numFmts>
  <fonts count="105">
    <font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22"/>
      <name val="Garamond"/>
      <charset val="134"/>
    </font>
    <font>
      <b/>
      <sz val="24"/>
      <name val="Times New Roman"/>
      <charset val="134"/>
    </font>
    <font>
      <b/>
      <sz val="24"/>
      <name val="Garamond"/>
      <charset val="134"/>
    </font>
    <font>
      <b/>
      <i/>
      <sz val="18"/>
      <name val="Garamond"/>
      <charset val="134"/>
    </font>
    <font>
      <b/>
      <sz val="24"/>
      <color indexed="9"/>
      <name val="Times New Roman"/>
      <charset val="134"/>
    </font>
    <font>
      <b/>
      <sz val="22"/>
      <name val="Times New Roman"/>
      <charset val="134"/>
    </font>
    <font>
      <b/>
      <sz val="20"/>
      <name val="Garamond"/>
      <charset val="134"/>
    </font>
    <font>
      <sz val="11"/>
      <color theme="1"/>
      <name val="Garamond"/>
      <charset val="134"/>
    </font>
    <font>
      <sz val="16"/>
      <name val="Garamond"/>
      <charset val="134"/>
    </font>
    <font>
      <sz val="12"/>
      <name val="Garamond"/>
      <charset val="134"/>
    </font>
    <font>
      <b/>
      <sz val="20"/>
      <color indexed="9"/>
      <name val="Garamond"/>
      <charset val="134"/>
    </font>
    <font>
      <sz val="18"/>
      <name val="Garamond"/>
      <charset val="134"/>
    </font>
    <font>
      <sz val="18"/>
      <color theme="1"/>
      <name val="Garamond"/>
      <charset val="134"/>
    </font>
    <font>
      <b/>
      <sz val="16"/>
      <name val="Garamond"/>
      <charset val="134"/>
    </font>
    <font>
      <b/>
      <sz val="18"/>
      <name val="Garamond"/>
      <charset val="134"/>
    </font>
    <font>
      <sz val="16"/>
      <color indexed="8"/>
      <name val="Garamond"/>
      <charset val="134"/>
    </font>
    <font>
      <sz val="20"/>
      <name val="Garamond"/>
      <charset val="134"/>
    </font>
    <font>
      <b/>
      <i/>
      <sz val="20"/>
      <name val="Garamond"/>
      <charset val="134"/>
    </font>
    <font>
      <sz val="16"/>
      <color theme="1"/>
      <name val="Garamond"/>
      <charset val="134"/>
    </font>
    <font>
      <sz val="16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6"/>
      <color theme="1"/>
      <name val="Garamond"/>
      <charset val="134"/>
    </font>
    <font>
      <b/>
      <sz val="16"/>
      <color theme="1"/>
      <name val="Calibri"/>
      <charset val="134"/>
      <scheme val="minor"/>
    </font>
    <font>
      <sz val="14"/>
      <name val="Garamond"/>
      <charset val="134"/>
    </font>
    <font>
      <sz val="14"/>
      <color theme="1"/>
      <name val="Garamond"/>
      <charset val="134"/>
    </font>
    <font>
      <sz val="12"/>
      <color theme="1"/>
      <name val="Garamond"/>
      <charset val="134"/>
    </font>
    <font>
      <sz val="13"/>
      <color theme="1"/>
      <name val="Times New Roman"/>
      <charset val="134"/>
    </font>
    <font>
      <sz val="14"/>
      <color rgb="FF000000"/>
      <name val="Calibri"/>
      <charset val="134"/>
    </font>
    <font>
      <sz val="11"/>
      <color theme="1"/>
      <name val="Times New Roman"/>
      <charset val="134"/>
    </font>
    <font>
      <sz val="14"/>
      <color theme="1"/>
      <name val="Times New Roman"/>
      <charset val="134"/>
    </font>
    <font>
      <sz val="14"/>
      <color rgb="FF000000"/>
      <name val="Times New Roman"/>
      <charset val="134"/>
    </font>
    <font>
      <sz val="10"/>
      <color theme="1"/>
      <name val="Tahoma"/>
      <charset val="134"/>
    </font>
    <font>
      <b/>
      <sz val="12"/>
      <color theme="1"/>
      <name val="Garamond"/>
      <charset val="134"/>
    </font>
    <font>
      <sz val="11"/>
      <color rgb="FF000000"/>
      <name val="Calibri"/>
      <charset val="134"/>
    </font>
    <font>
      <b/>
      <sz val="12"/>
      <color rgb="FF000000"/>
      <name val="Times New Roman"/>
      <charset val="134"/>
    </font>
    <font>
      <b/>
      <i/>
      <sz val="16"/>
      <name val="Times New Roman"/>
      <charset val="134"/>
    </font>
    <font>
      <b/>
      <i/>
      <sz val="12"/>
      <name val="Times New Roman"/>
      <charset val="134"/>
    </font>
    <font>
      <sz val="12"/>
      <name val="Calibri"/>
      <charset val="134"/>
      <scheme val="minor"/>
    </font>
    <font>
      <b/>
      <sz val="22"/>
      <name val="Garamond"/>
      <charset val="134"/>
    </font>
    <font>
      <b/>
      <sz val="24"/>
      <name val="Times New Roman"/>
      <charset val="134"/>
    </font>
    <font>
      <b/>
      <sz val="24"/>
      <name val="Garamond"/>
      <charset val="134"/>
    </font>
    <font>
      <b/>
      <i/>
      <sz val="18"/>
      <name val="Garamond"/>
      <charset val="134"/>
    </font>
    <font>
      <b/>
      <sz val="24"/>
      <color indexed="9"/>
      <name val="Times New Roman"/>
      <charset val="134"/>
    </font>
    <font>
      <b/>
      <sz val="22"/>
      <name val="Times New Roman"/>
      <charset val="134"/>
    </font>
    <font>
      <b/>
      <sz val="20"/>
      <name val="Garamond"/>
      <charset val="134"/>
    </font>
    <font>
      <sz val="11"/>
      <color theme="1"/>
      <name val="Garamond"/>
      <charset val="134"/>
    </font>
    <font>
      <sz val="16"/>
      <name val="Garamond"/>
      <charset val="134"/>
    </font>
    <font>
      <sz val="12"/>
      <name val="Garamond"/>
      <charset val="134"/>
    </font>
    <font>
      <b/>
      <sz val="20"/>
      <color indexed="9"/>
      <name val="Garamond"/>
      <charset val="134"/>
    </font>
    <font>
      <sz val="18"/>
      <name val="Times New Roman"/>
      <charset val="134"/>
    </font>
    <font>
      <sz val="18"/>
      <color theme="1"/>
      <name val="Garamond"/>
      <charset val="134"/>
    </font>
    <font>
      <b/>
      <sz val="16"/>
      <name val="Garamond"/>
      <charset val="134"/>
    </font>
    <font>
      <b/>
      <sz val="18"/>
      <name val="Garamond"/>
      <charset val="134"/>
    </font>
    <font>
      <sz val="16"/>
      <color indexed="8"/>
      <name val="Garamond"/>
      <charset val="134"/>
    </font>
    <font>
      <sz val="20"/>
      <name val="Garamond"/>
      <charset val="134"/>
    </font>
    <font>
      <sz val="18"/>
      <name val="Garamond"/>
      <charset val="134"/>
    </font>
    <font>
      <sz val="18"/>
      <color indexed="8"/>
      <name val="Garamond"/>
      <charset val="134"/>
    </font>
    <font>
      <sz val="16"/>
      <color theme="1"/>
      <name val="Garamond"/>
      <charset val="134"/>
    </font>
    <font>
      <sz val="16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6"/>
      <color theme="1"/>
      <name val="Garamond"/>
      <charset val="134"/>
    </font>
    <font>
      <b/>
      <sz val="16"/>
      <color theme="1"/>
      <name val="Calibri"/>
      <charset val="134"/>
      <scheme val="minor"/>
    </font>
    <font>
      <sz val="14"/>
      <name val="Garamond"/>
      <charset val="134"/>
    </font>
    <font>
      <sz val="14"/>
      <color theme="1"/>
      <name val="Garamond"/>
      <charset val="134"/>
    </font>
    <font>
      <sz val="12"/>
      <color theme="1"/>
      <name val="Garamond"/>
      <charset val="134"/>
    </font>
    <font>
      <sz val="11"/>
      <name val="Calibri"/>
      <charset val="134"/>
    </font>
    <font>
      <sz val="11"/>
      <color theme="1"/>
      <name val="Times New Roman"/>
      <charset val="134"/>
    </font>
    <font>
      <sz val="11"/>
      <color rgb="FF000000"/>
      <name val="Times New Roman"/>
      <charset val="134"/>
    </font>
    <font>
      <b/>
      <sz val="12"/>
      <color theme="1"/>
      <name val="Garamond"/>
      <charset val="134"/>
    </font>
    <font>
      <b/>
      <i/>
      <sz val="16"/>
      <name val="Times New Roman"/>
      <charset val="134"/>
    </font>
    <font>
      <b/>
      <i/>
      <sz val="12"/>
      <name val="Times New Roman"/>
      <charset val="134"/>
    </font>
    <font>
      <b/>
      <u/>
      <sz val="20"/>
      <name val="Calibri"/>
      <charset val="134"/>
    </font>
    <font>
      <b/>
      <i/>
      <sz val="20"/>
      <name val="Calibri"/>
      <charset val="134"/>
    </font>
    <font>
      <b/>
      <sz val="20"/>
      <name val="Arial"/>
      <charset val="134"/>
    </font>
    <font>
      <sz val="20"/>
      <name val="Arial"/>
      <charset val="134"/>
    </font>
    <font>
      <sz val="20"/>
      <name val="Calibri"/>
      <charset val="134"/>
    </font>
    <font>
      <b/>
      <sz val="20"/>
      <name val="Calibri"/>
      <charset val="134"/>
    </font>
    <font>
      <sz val="12"/>
      <color theme="1"/>
      <name val="Calibri"/>
      <charset val="134"/>
    </font>
    <font>
      <b/>
      <sz val="10"/>
      <color theme="1"/>
      <name val="Calibri"/>
      <charset val="134"/>
      <scheme val="minor"/>
    </font>
    <font>
      <sz val="12"/>
      <color rgb="FFFF0000"/>
      <name val="Garamond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indexed="8"/>
      <name val="Calibri"/>
      <charset val="134"/>
    </font>
    <font>
      <sz val="11"/>
      <color indexed="8"/>
      <name val="Calibri"/>
      <charset val="134"/>
    </font>
    <font>
      <b/>
      <sz val="9"/>
      <name val="Tahoma"/>
      <charset val="134"/>
    </font>
    <font>
      <sz val="9"/>
      <name val="Tahoma"/>
      <charset val="134"/>
    </font>
  </fonts>
  <fills count="4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3" fontId="0" fillId="0" borderId="0" applyFont="0" applyFill="0" applyBorder="0" applyAlignment="0" applyProtection="0"/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0" fillId="12" borderId="11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7" fillId="0" borderId="12" applyNumberFormat="0" applyFill="0" applyAlignment="0" applyProtection="0">
      <alignment vertical="center"/>
    </xf>
    <xf numFmtId="0" fontId="88" fillId="0" borderId="12" applyNumberFormat="0" applyFill="0" applyAlignment="0" applyProtection="0">
      <alignment vertical="center"/>
    </xf>
    <xf numFmtId="0" fontId="89" fillId="0" borderId="13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13" borderId="14" applyNumberFormat="0" applyAlignment="0" applyProtection="0">
      <alignment vertical="center"/>
    </xf>
    <xf numFmtId="0" fontId="91" fillId="14" borderId="15" applyNumberFormat="0" applyAlignment="0" applyProtection="0">
      <alignment vertical="center"/>
    </xf>
    <xf numFmtId="0" fontId="92" fillId="14" borderId="14" applyNumberFormat="0" applyAlignment="0" applyProtection="0">
      <alignment vertical="center"/>
    </xf>
    <xf numFmtId="0" fontId="93" fillId="15" borderId="16" applyNumberFormat="0" applyAlignment="0" applyProtection="0">
      <alignment vertical="center"/>
    </xf>
    <xf numFmtId="0" fontId="94" fillId="0" borderId="17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6" fillId="16" borderId="0" applyNumberFormat="0" applyBorder="0" applyAlignment="0" applyProtection="0">
      <alignment vertical="center"/>
    </xf>
    <xf numFmtId="0" fontId="97" fillId="17" borderId="0" applyNumberFormat="0" applyBorder="0" applyAlignment="0" applyProtection="0">
      <alignment vertical="center"/>
    </xf>
    <xf numFmtId="0" fontId="98" fillId="18" borderId="0" applyNumberFormat="0" applyBorder="0" applyAlignment="0" applyProtection="0">
      <alignment vertical="center"/>
    </xf>
    <xf numFmtId="0" fontId="99" fillId="19" borderId="0" applyNumberFormat="0" applyBorder="0" applyAlignment="0" applyProtection="0">
      <alignment vertical="center"/>
    </xf>
    <xf numFmtId="0" fontId="100" fillId="20" borderId="0" applyNumberFormat="0" applyBorder="0" applyAlignment="0" applyProtection="0">
      <alignment vertical="center"/>
    </xf>
    <xf numFmtId="0" fontId="100" fillId="21" borderId="0" applyNumberFormat="0" applyBorder="0" applyAlignment="0" applyProtection="0">
      <alignment vertical="center"/>
    </xf>
    <xf numFmtId="0" fontId="99" fillId="22" borderId="0" applyNumberFormat="0" applyBorder="0" applyAlignment="0" applyProtection="0">
      <alignment vertical="center"/>
    </xf>
    <xf numFmtId="0" fontId="99" fillId="23" borderId="0" applyNumberFormat="0" applyBorder="0" applyAlignment="0" applyProtection="0">
      <alignment vertical="center"/>
    </xf>
    <xf numFmtId="0" fontId="100" fillId="24" borderId="0" applyNumberFormat="0" applyBorder="0" applyAlignment="0" applyProtection="0">
      <alignment vertical="center"/>
    </xf>
    <xf numFmtId="0" fontId="100" fillId="25" borderId="0" applyNumberFormat="0" applyBorder="0" applyAlignment="0" applyProtection="0">
      <alignment vertical="center"/>
    </xf>
    <xf numFmtId="0" fontId="99" fillId="26" borderId="0" applyNumberFormat="0" applyBorder="0" applyAlignment="0" applyProtection="0">
      <alignment vertical="center"/>
    </xf>
    <xf numFmtId="0" fontId="99" fillId="27" borderId="0" applyNumberFormat="0" applyBorder="0" applyAlignment="0" applyProtection="0">
      <alignment vertical="center"/>
    </xf>
    <xf numFmtId="0" fontId="100" fillId="28" borderId="0" applyNumberFormat="0" applyBorder="0" applyAlignment="0" applyProtection="0">
      <alignment vertical="center"/>
    </xf>
    <xf numFmtId="0" fontId="100" fillId="29" borderId="0" applyNumberFormat="0" applyBorder="0" applyAlignment="0" applyProtection="0">
      <alignment vertical="center"/>
    </xf>
    <xf numFmtId="0" fontId="99" fillId="30" borderId="0" applyNumberFormat="0" applyBorder="0" applyAlignment="0" applyProtection="0">
      <alignment vertical="center"/>
    </xf>
    <xf numFmtId="0" fontId="99" fillId="31" borderId="0" applyNumberFormat="0" applyBorder="0" applyAlignment="0" applyProtection="0">
      <alignment vertical="center"/>
    </xf>
    <xf numFmtId="0" fontId="100" fillId="32" borderId="0" applyNumberFormat="0" applyBorder="0" applyAlignment="0" applyProtection="0">
      <alignment vertical="center"/>
    </xf>
    <xf numFmtId="0" fontId="100" fillId="33" borderId="0" applyNumberFormat="0" applyBorder="0" applyAlignment="0" applyProtection="0">
      <alignment vertical="center"/>
    </xf>
    <xf numFmtId="0" fontId="99" fillId="34" borderId="0" applyNumberFormat="0" applyBorder="0" applyAlignment="0" applyProtection="0">
      <alignment vertical="center"/>
    </xf>
    <xf numFmtId="0" fontId="99" fillId="35" borderId="0" applyNumberFormat="0" applyBorder="0" applyAlignment="0" applyProtection="0">
      <alignment vertical="center"/>
    </xf>
    <xf numFmtId="0" fontId="100" fillId="36" borderId="0" applyNumberFormat="0" applyBorder="0" applyAlignment="0" applyProtection="0">
      <alignment vertical="center"/>
    </xf>
    <xf numFmtId="0" fontId="100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100" fillId="40" borderId="0" applyNumberFormat="0" applyBorder="0" applyAlignment="0" applyProtection="0">
      <alignment vertical="center"/>
    </xf>
    <xf numFmtId="0" fontId="100" fillId="41" borderId="0" applyNumberFormat="0" applyBorder="0" applyAlignment="0" applyProtection="0">
      <alignment vertical="center"/>
    </xf>
    <xf numFmtId="0" fontId="99" fillId="42" borderId="0" applyNumberFormat="0" applyBorder="0" applyAlignment="0" applyProtection="0">
      <alignment vertical="center"/>
    </xf>
    <xf numFmtId="0" fontId="101" fillId="0" borderId="0"/>
    <xf numFmtId="0" fontId="102" fillId="0" borderId="0"/>
    <xf numFmtId="177" fontId="0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229">
    <xf numFmtId="0" fontId="0" fillId="0" borderId="0" xfId="0"/>
    <xf numFmtId="0" fontId="1" fillId="0" borderId="0" xfId="53"/>
    <xf numFmtId="0" fontId="1" fillId="0" borderId="0" xfId="53" applyAlignment="1">
      <alignment horizontal="center"/>
    </xf>
    <xf numFmtId="49" fontId="2" fillId="0" borderId="0" xfId="53" applyNumberFormat="1" applyFont="1" applyAlignment="1">
      <alignment horizontal="center" wrapText="1"/>
    </xf>
    <xf numFmtId="49" fontId="2" fillId="0" borderId="0" xfId="53" applyNumberFormat="1" applyFont="1" applyAlignment="1">
      <alignment horizontal="center"/>
    </xf>
    <xf numFmtId="49" fontId="3" fillId="0" borderId="0" xfId="53" applyNumberFormat="1" applyFont="1" applyAlignment="1">
      <alignment horizontal="center" wrapText="1"/>
    </xf>
    <xf numFmtId="49" fontId="3" fillId="0" borderId="0" xfId="53" applyNumberFormat="1" applyFont="1" applyAlignment="1">
      <alignment horizontal="center"/>
    </xf>
    <xf numFmtId="49" fontId="4" fillId="0" borderId="0" xfId="53" applyNumberFormat="1" applyFont="1" applyAlignment="1">
      <alignment horizontal="center"/>
    </xf>
    <xf numFmtId="49" fontId="5" fillId="0" borderId="0" xfId="53" applyNumberFormat="1" applyFont="1" applyAlignment="1">
      <alignment horizontal="right"/>
    </xf>
    <xf numFmtId="0" fontId="6" fillId="2" borderId="0" xfId="53" applyFont="1" applyFill="1" applyAlignment="1">
      <alignment horizontal="center"/>
    </xf>
    <xf numFmtId="0" fontId="6" fillId="3" borderId="0" xfId="53" applyFont="1" applyFill="1" applyAlignment="1">
      <alignment horizontal="center"/>
    </xf>
    <xf numFmtId="0" fontId="7" fillId="4" borderId="0" xfId="53" applyFont="1" applyFill="1" applyAlignment="1">
      <alignment horizontal="center"/>
    </xf>
    <xf numFmtId="0" fontId="7" fillId="4" borderId="0" xfId="53" applyFont="1" applyFill="1" applyAlignment="1">
      <alignment horizontal="center" vertical="center"/>
    </xf>
    <xf numFmtId="0" fontId="8" fillId="0" borderId="0" xfId="53" applyFont="1" applyAlignment="1">
      <alignment horizontal="right"/>
    </xf>
    <xf numFmtId="0" fontId="9" fillId="0" borderId="0" xfId="53" applyFont="1" applyAlignment="1">
      <alignment horizontal="center"/>
    </xf>
    <xf numFmtId="0" fontId="10" fillId="0" borderId="0" xfId="53" applyFont="1" applyAlignment="1">
      <alignment horizontal="right"/>
    </xf>
    <xf numFmtId="58" fontId="11" fillId="0" borderId="0" xfId="53" applyNumberFormat="1" applyFont="1" applyAlignment="1">
      <alignment horizontal="center"/>
    </xf>
    <xf numFmtId="178" fontId="10" fillId="0" borderId="0" xfId="53" applyNumberFormat="1" applyFont="1" applyAlignment="1">
      <alignment horizontal="center"/>
    </xf>
    <xf numFmtId="0" fontId="12" fillId="2" borderId="1" xfId="53" applyFont="1" applyFill="1" applyBorder="1" applyAlignment="1">
      <alignment horizontal="left"/>
    </xf>
    <xf numFmtId="0" fontId="13" fillId="0" borderId="1" xfId="53" applyFont="1" applyBorder="1" applyAlignment="1">
      <alignment horizontal="center"/>
    </xf>
    <xf numFmtId="0" fontId="14" fillId="0" borderId="1" xfId="53" applyFont="1" applyBorder="1" applyAlignment="1">
      <alignment horizontal="center" vertical="center"/>
    </xf>
    <xf numFmtId="0" fontId="15" fillId="5" borderId="2" xfId="50" applyFont="1" applyFill="1" applyBorder="1"/>
    <xf numFmtId="0" fontId="16" fillId="5" borderId="3" xfId="53" applyFont="1" applyFill="1" applyBorder="1" applyAlignment="1">
      <alignment horizontal="center"/>
    </xf>
    <xf numFmtId="0" fontId="16" fillId="5" borderId="4" xfId="53" applyFont="1" applyFill="1" applyBorder="1" applyAlignment="1">
      <alignment horizontal="center"/>
    </xf>
    <xf numFmtId="0" fontId="10" fillId="0" borderId="1" xfId="50" applyFont="1" applyBorder="1"/>
    <xf numFmtId="179" fontId="10" fillId="0" borderId="1" xfId="52" applyNumberFormat="1" applyFont="1" applyBorder="1" applyAlignment="1">
      <alignment horizontal="center" vertical="center" wrapText="1" readingOrder="1"/>
    </xf>
    <xf numFmtId="179" fontId="10" fillId="0" borderId="1" xfId="52" applyNumberFormat="1" applyFont="1" applyBorder="1" applyAlignment="1">
      <alignment horizontal="center" vertical="center" wrapText="1"/>
    </xf>
    <xf numFmtId="0" fontId="17" fillId="0" borderId="1" xfId="52" applyNumberFormat="1" applyFont="1" applyBorder="1" applyAlignment="1">
      <alignment horizontal="center" vertical="center"/>
    </xf>
    <xf numFmtId="43" fontId="16" fillId="5" borderId="3" xfId="52" applyFont="1" applyFill="1" applyBorder="1" applyAlignment="1">
      <alignment horizontal="center" vertical="center"/>
    </xf>
    <xf numFmtId="43" fontId="16" fillId="5" borderId="4" xfId="52" applyFont="1" applyFill="1" applyBorder="1" applyAlignment="1">
      <alignment horizontal="center" vertical="center"/>
    </xf>
    <xf numFmtId="0" fontId="17" fillId="0" borderId="5" xfId="52" applyNumberFormat="1" applyFont="1" applyBorder="1" applyAlignment="1">
      <alignment horizontal="center" vertical="center"/>
    </xf>
    <xf numFmtId="0" fontId="18" fillId="0" borderId="3" xfId="50" applyFont="1" applyBorder="1" applyAlignment="1">
      <alignment horizontal="center"/>
    </xf>
    <xf numFmtId="0" fontId="15" fillId="5" borderId="3" xfId="53" applyFont="1" applyFill="1" applyBorder="1" applyAlignment="1">
      <alignment horizontal="center"/>
    </xf>
    <xf numFmtId="0" fontId="15" fillId="5" borderId="4" xfId="53" applyFont="1" applyFill="1" applyBorder="1" applyAlignment="1">
      <alignment horizontal="center"/>
    </xf>
    <xf numFmtId="0" fontId="10" fillId="0" borderId="5" xfId="50" applyFont="1" applyBorder="1"/>
    <xf numFmtId="0" fontId="10" fillId="0" borderId="5" xfId="52" applyNumberFormat="1" applyFont="1" applyBorder="1" applyAlignment="1">
      <alignment horizontal="center" vertical="center" wrapText="1"/>
    </xf>
    <xf numFmtId="0" fontId="10" fillId="0" borderId="1" xfId="52" applyNumberFormat="1" applyFont="1" applyBorder="1" applyAlignment="1">
      <alignment horizontal="center" vertical="center" wrapText="1"/>
    </xf>
    <xf numFmtId="43" fontId="15" fillId="5" borderId="3" xfId="52" applyFont="1" applyFill="1" applyBorder="1" applyAlignment="1">
      <alignment horizontal="center"/>
    </xf>
    <xf numFmtId="43" fontId="15" fillId="5" borderId="4" xfId="52" applyFont="1" applyFill="1" applyBorder="1" applyAlignment="1">
      <alignment horizontal="center"/>
    </xf>
    <xf numFmtId="0" fontId="10" fillId="0" borderId="6" xfId="50" applyFont="1" applyBorder="1"/>
    <xf numFmtId="43" fontId="10" fillId="0" borderId="2" xfId="52" applyFont="1" applyBorder="1" applyAlignment="1">
      <alignment horizontal="center" vertical="center" wrapText="1"/>
    </xf>
    <xf numFmtId="43" fontId="10" fillId="0" borderId="3" xfId="52" applyFont="1" applyBorder="1" applyAlignment="1">
      <alignment horizontal="center" vertical="center" wrapText="1"/>
    </xf>
    <xf numFmtId="43" fontId="10" fillId="0" borderId="4" xfId="52" applyFont="1" applyBorder="1" applyAlignment="1">
      <alignment horizontal="center" vertical="center" wrapText="1"/>
    </xf>
    <xf numFmtId="2" fontId="10" fillId="0" borderId="1" xfId="52" applyNumberFormat="1" applyFont="1" applyBorder="1" applyAlignment="1">
      <alignment horizontal="center" vertical="center" wrapText="1" readingOrder="1"/>
    </xf>
    <xf numFmtId="0" fontId="19" fillId="5" borderId="6" xfId="50" applyFont="1" applyFill="1" applyBorder="1"/>
    <xf numFmtId="0" fontId="15" fillId="5" borderId="7" xfId="53" applyFont="1" applyFill="1" applyBorder="1" applyAlignment="1">
      <alignment horizontal="center"/>
    </xf>
    <xf numFmtId="0" fontId="15" fillId="5" borderId="8" xfId="53" applyFont="1" applyFill="1" applyBorder="1" applyAlignment="1">
      <alignment horizontal="center"/>
    </xf>
    <xf numFmtId="0" fontId="15" fillId="5" borderId="9" xfId="53" applyFont="1" applyFill="1" applyBorder="1" applyAlignment="1">
      <alignment horizontal="center"/>
    </xf>
    <xf numFmtId="2" fontId="15" fillId="5" borderId="6" xfId="53" applyNumberFormat="1" applyFont="1" applyFill="1" applyBorder="1" applyAlignment="1">
      <alignment horizontal="center"/>
    </xf>
    <xf numFmtId="43" fontId="16" fillId="0" borderId="0" xfId="52" applyFont="1" applyBorder="1" applyAlignment="1">
      <alignment horizontal="right" vertical="center" wrapText="1"/>
    </xf>
    <xf numFmtId="0" fontId="13" fillId="0" borderId="0" xfId="52" applyNumberFormat="1" applyFont="1" applyBorder="1" applyAlignment="1">
      <alignment vertical="center" wrapText="1"/>
    </xf>
    <xf numFmtId="0" fontId="13" fillId="0" borderId="0" xfId="52" applyNumberFormat="1" applyFont="1" applyBorder="1" applyAlignment="1">
      <alignment horizontal="left" vertical="center" wrapText="1"/>
    </xf>
    <xf numFmtId="43" fontId="13" fillId="0" borderId="0" xfId="52" applyFont="1" applyBorder="1" applyAlignment="1">
      <alignment vertical="center" wrapText="1"/>
    </xf>
    <xf numFmtId="43" fontId="5" fillId="0" borderId="0" xfId="52" applyFont="1" applyBorder="1" applyAlignment="1">
      <alignment horizontal="left" vertical="center" wrapText="1"/>
    </xf>
    <xf numFmtId="43" fontId="13" fillId="0" borderId="1" xfId="52" applyFont="1" applyBorder="1" applyAlignment="1">
      <alignment horizontal="right" vertical="center" wrapText="1"/>
    </xf>
    <xf numFmtId="0" fontId="13" fillId="0" borderId="1" xfId="52" applyNumberFormat="1" applyFont="1" applyBorder="1" applyAlignment="1">
      <alignment horizontal="center" vertical="center" wrapText="1"/>
    </xf>
    <xf numFmtId="0" fontId="20" fillId="0" borderId="0" xfId="53" applyFont="1"/>
    <xf numFmtId="0" fontId="20" fillId="0" borderId="0" xfId="53" applyFont="1" applyAlignment="1">
      <alignment horizontal="center"/>
    </xf>
    <xf numFmtId="0" fontId="10" fillId="0" borderId="0" xfId="53" applyFont="1" applyAlignment="1">
      <alignment horizontal="center"/>
    </xf>
    <xf numFmtId="180" fontId="10" fillId="0" borderId="0" xfId="53" applyNumberFormat="1" applyFont="1" applyAlignment="1">
      <alignment horizontal="left"/>
    </xf>
    <xf numFmtId="0" fontId="21" fillId="0" borderId="0" xfId="53" applyFont="1" applyAlignment="1">
      <alignment vertical="center"/>
    </xf>
    <xf numFmtId="0" fontId="22" fillId="0" borderId="0" xfId="53" applyFont="1"/>
    <xf numFmtId="0" fontId="21" fillId="0" borderId="0" xfId="53" applyFont="1"/>
    <xf numFmtId="0" fontId="23" fillId="0" borderId="1" xfId="53" applyFont="1" applyBorder="1" applyAlignment="1">
      <alignment horizontal="center" vertical="center"/>
    </xf>
    <xf numFmtId="0" fontId="22" fillId="0" borderId="1" xfId="53" applyFont="1" applyBorder="1" applyAlignment="1">
      <alignment horizontal="center" vertical="center" textRotation="135" wrapText="1"/>
    </xf>
    <xf numFmtId="0" fontId="24" fillId="0" borderId="1" xfId="53" applyFont="1" applyBorder="1" applyAlignment="1">
      <alignment horizontal="center" vertical="center"/>
    </xf>
    <xf numFmtId="0" fontId="25" fillId="0" borderId="1" xfId="50" applyFont="1" applyBorder="1" applyAlignment="1">
      <alignment horizontal="center" vertical="center" readingOrder="1"/>
    </xf>
    <xf numFmtId="0" fontId="1" fillId="0" borderId="1" xfId="53" applyBorder="1"/>
    <xf numFmtId="0" fontId="26" fillId="0" borderId="1" xfId="53" applyFont="1" applyBorder="1"/>
    <xf numFmtId="0" fontId="26" fillId="0" borderId="1" xfId="53" applyFont="1" applyBorder="1" applyAlignment="1">
      <alignment horizontal="center" vertical="center"/>
    </xf>
    <xf numFmtId="0" fontId="26" fillId="0" borderId="6" xfId="53" applyFont="1" applyBorder="1" applyAlignment="1">
      <alignment horizontal="center" vertical="center"/>
    </xf>
    <xf numFmtId="0" fontId="27" fillId="0" borderId="1" xfId="53" applyFont="1" applyBorder="1"/>
    <xf numFmtId="58" fontId="27" fillId="0" borderId="1" xfId="53" applyNumberFormat="1" applyFont="1" applyBorder="1"/>
    <xf numFmtId="181" fontId="27" fillId="5" borderId="1" xfId="53" applyNumberFormat="1" applyFont="1" applyFill="1" applyBorder="1"/>
    <xf numFmtId="0" fontId="25" fillId="0" borderId="1" xfId="50" applyFont="1" applyBorder="1" applyAlignment="1">
      <alignment horizontal="center" vertical="center" wrapText="1" readingOrder="1"/>
    </xf>
    <xf numFmtId="0" fontId="28" fillId="0" borderId="1" xfId="53" applyFont="1" applyBorder="1" applyAlignment="1">
      <alignment horizontal="center" vertical="center" wrapText="1"/>
    </xf>
    <xf numFmtId="0" fontId="29" fillId="0" borderId="1" xfId="53" applyFont="1" applyBorder="1" applyAlignment="1">
      <alignment horizontal="right" vertical="center"/>
    </xf>
    <xf numFmtId="0" fontId="30" fillId="0" borderId="1" xfId="53" applyFont="1" applyBorder="1" applyAlignment="1">
      <alignment vertical="center"/>
    </xf>
    <xf numFmtId="0" fontId="31" fillId="0" borderId="1" xfId="53" applyFont="1" applyBorder="1" applyAlignment="1">
      <alignment horizontal="center" vertical="center" wrapText="1"/>
    </xf>
    <xf numFmtId="0" fontId="32" fillId="0" borderId="1" xfId="53" applyFont="1" applyBorder="1" applyAlignment="1">
      <alignment horizontal="center" vertical="center"/>
    </xf>
    <xf numFmtId="0" fontId="33" fillId="0" borderId="1" xfId="53" applyFont="1" applyBorder="1"/>
    <xf numFmtId="2" fontId="34" fillId="0" borderId="1" xfId="53" applyNumberFormat="1" applyFont="1" applyBorder="1"/>
    <xf numFmtId="0" fontId="35" fillId="0" borderId="1" xfId="53" applyFont="1" applyBorder="1" applyAlignment="1">
      <alignment horizontal="center" vertical="center" wrapText="1"/>
    </xf>
    <xf numFmtId="0" fontId="36" fillId="0" borderId="1" xfId="53" applyFont="1" applyBorder="1" applyAlignment="1">
      <alignment horizontal="justify" vertical="center" wrapText="1"/>
    </xf>
    <xf numFmtId="0" fontId="21" fillId="0" borderId="1" xfId="53" applyFont="1" applyBorder="1"/>
    <xf numFmtId="0" fontId="22" fillId="0" borderId="1" xfId="53" applyFont="1" applyBorder="1" applyAlignment="1">
      <alignment vertical="center" textRotation="135" wrapText="1"/>
    </xf>
    <xf numFmtId="0" fontId="22" fillId="0" borderId="8" xfId="53" applyFont="1" applyBorder="1" applyAlignment="1">
      <alignment vertical="center" textRotation="135" wrapText="1"/>
    </xf>
    <xf numFmtId="0" fontId="21" fillId="0" borderId="1" xfId="53" applyFont="1" applyBorder="1" applyAlignment="1">
      <alignment vertical="center"/>
    </xf>
    <xf numFmtId="0" fontId="34" fillId="6" borderId="1" xfId="53" applyFont="1" applyFill="1" applyBorder="1" applyAlignment="1">
      <alignment horizontal="center" vertical="center"/>
    </xf>
    <xf numFmtId="2" fontId="27" fillId="5" borderId="1" xfId="53" applyNumberFormat="1" applyFont="1" applyFill="1" applyBorder="1" applyAlignment="1">
      <alignment horizontal="center"/>
    </xf>
    <xf numFmtId="0" fontId="34" fillId="0" borderId="1" xfId="53" applyFont="1" applyBorder="1" applyAlignment="1">
      <alignment horizontal="center"/>
    </xf>
    <xf numFmtId="2" fontId="37" fillId="7" borderId="0" xfId="53" applyNumberFormat="1" applyFont="1" applyFill="1" applyAlignment="1">
      <alignment horizontal="center"/>
    </xf>
    <xf numFmtId="0" fontId="37" fillId="0" borderId="1" xfId="53" applyFont="1" applyBorder="1"/>
    <xf numFmtId="0" fontId="38" fillId="0" borderId="0" xfId="53" applyFont="1"/>
    <xf numFmtId="0" fontId="22" fillId="0" borderId="9" xfId="53" applyFont="1" applyBorder="1" applyAlignment="1">
      <alignment vertical="center" textRotation="135" wrapText="1"/>
    </xf>
    <xf numFmtId="0" fontId="37" fillId="0" borderId="0" xfId="53" applyFont="1"/>
    <xf numFmtId="0" fontId="39" fillId="3" borderId="1" xfId="53" applyFont="1" applyFill="1" applyBorder="1" applyAlignment="1">
      <alignment horizontal="center"/>
    </xf>
    <xf numFmtId="0" fontId="39" fillId="0" borderId="1" xfId="53" applyFont="1" applyBorder="1" applyAlignment="1">
      <alignment horizontal="center"/>
    </xf>
    <xf numFmtId="2" fontId="21" fillId="0" borderId="0" xfId="53" applyNumberFormat="1" applyFont="1"/>
    <xf numFmtId="2" fontId="27" fillId="0" borderId="1" xfId="53" applyNumberFormat="1" applyFont="1" applyBorder="1"/>
    <xf numFmtId="181" fontId="21" fillId="0" borderId="0" xfId="53" applyNumberFormat="1" applyFont="1"/>
    <xf numFmtId="0" fontId="37" fillId="0" borderId="0" xfId="53" applyFont="1" applyAlignment="1">
      <alignment horizontal="center"/>
    </xf>
    <xf numFmtId="0" fontId="0" fillId="0" borderId="0" xfId="0" applyAlignment="1">
      <alignment horizontal="center"/>
    </xf>
    <xf numFmtId="49" fontId="40" fillId="0" borderId="0" xfId="0" applyNumberFormat="1" applyFont="1" applyAlignment="1">
      <alignment horizontal="center" wrapText="1"/>
    </xf>
    <xf numFmtId="49" fontId="40" fillId="0" borderId="0" xfId="0" applyNumberFormat="1" applyFont="1" applyAlignment="1">
      <alignment horizontal="center"/>
    </xf>
    <xf numFmtId="49" fontId="41" fillId="0" borderId="0" xfId="0" applyNumberFormat="1" applyFont="1" applyAlignment="1">
      <alignment horizontal="center" wrapText="1"/>
    </xf>
    <xf numFmtId="49" fontId="41" fillId="0" borderId="0" xfId="0" applyNumberFormat="1" applyFont="1" applyAlignment="1">
      <alignment horizontal="center"/>
    </xf>
    <xf numFmtId="49" fontId="42" fillId="0" borderId="0" xfId="0" applyNumberFormat="1" applyFont="1" applyAlignment="1">
      <alignment horizontal="center"/>
    </xf>
    <xf numFmtId="49" fontId="43" fillId="0" borderId="0" xfId="0" applyNumberFormat="1" applyFont="1" applyAlignment="1">
      <alignment horizontal="right"/>
    </xf>
    <xf numFmtId="0" fontId="44" fillId="2" borderId="0" xfId="0" applyFont="1" applyFill="1" applyAlignment="1">
      <alignment horizontal="center"/>
    </xf>
    <xf numFmtId="0" fontId="44" fillId="3" borderId="0" xfId="0" applyFont="1" applyFill="1" applyAlignment="1">
      <alignment horizontal="center"/>
    </xf>
    <xf numFmtId="0" fontId="45" fillId="4" borderId="0" xfId="0" applyFont="1" applyFill="1" applyAlignment="1">
      <alignment horizontal="center"/>
    </xf>
    <xf numFmtId="0" fontId="45" fillId="4" borderId="0" xfId="0" applyFont="1" applyFill="1" applyAlignment="1">
      <alignment horizontal="center" vertical="center"/>
    </xf>
    <xf numFmtId="0" fontId="46" fillId="0" borderId="0" xfId="0" applyFont="1" applyAlignment="1">
      <alignment horizontal="right"/>
    </xf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right"/>
    </xf>
    <xf numFmtId="58" fontId="49" fillId="0" borderId="0" xfId="0" applyNumberFormat="1" applyFont="1" applyAlignment="1">
      <alignment horizontal="left"/>
    </xf>
    <xf numFmtId="49" fontId="49" fillId="0" borderId="0" xfId="0" applyNumberFormat="1" applyFont="1" applyAlignment="1">
      <alignment horizontal="left"/>
    </xf>
    <xf numFmtId="178" fontId="48" fillId="0" borderId="0" xfId="0" applyNumberFormat="1" applyFont="1" applyAlignment="1">
      <alignment horizontal="center"/>
    </xf>
    <xf numFmtId="0" fontId="50" fillId="2" borderId="1" xfId="0" applyFont="1" applyFill="1" applyBorder="1" applyAlignment="1">
      <alignment horizontal="left"/>
    </xf>
    <xf numFmtId="0" fontId="51" fillId="0" borderId="1" xfId="0" applyFont="1" applyBorder="1" applyAlignment="1">
      <alignment horizontal="center"/>
    </xf>
    <xf numFmtId="0" fontId="52" fillId="0" borderId="1" xfId="0" applyFont="1" applyBorder="1" applyAlignment="1">
      <alignment horizontal="center" vertical="center"/>
    </xf>
    <xf numFmtId="0" fontId="53" fillId="5" borderId="2" xfId="49" applyFont="1" applyFill="1" applyBorder="1"/>
    <xf numFmtId="0" fontId="54" fillId="5" borderId="3" xfId="0" applyFont="1" applyFill="1" applyBorder="1" applyAlignment="1">
      <alignment horizontal="center"/>
    </xf>
    <xf numFmtId="0" fontId="54" fillId="5" borderId="4" xfId="0" applyFont="1" applyFill="1" applyBorder="1" applyAlignment="1">
      <alignment horizontal="center"/>
    </xf>
    <xf numFmtId="0" fontId="48" fillId="0" borderId="1" xfId="49" applyFont="1" applyBorder="1"/>
    <xf numFmtId="179" fontId="48" fillId="0" borderId="1" xfId="1" applyNumberFormat="1" applyFont="1" applyBorder="1" applyAlignment="1">
      <alignment horizontal="center" vertical="center" wrapText="1" readingOrder="1"/>
    </xf>
    <xf numFmtId="179" fontId="48" fillId="0" borderId="1" xfId="1" applyNumberFormat="1" applyFont="1" applyBorder="1" applyAlignment="1">
      <alignment horizontal="center" vertical="center" wrapText="1"/>
    </xf>
    <xf numFmtId="0" fontId="55" fillId="0" borderId="1" xfId="1" applyNumberFormat="1" applyFont="1" applyBorder="1" applyAlignment="1">
      <alignment horizontal="center" vertical="center"/>
    </xf>
    <xf numFmtId="43" fontId="54" fillId="5" borderId="3" xfId="1" applyFont="1" applyFill="1" applyBorder="1" applyAlignment="1">
      <alignment horizontal="center" vertical="center"/>
    </xf>
    <xf numFmtId="43" fontId="54" fillId="5" borderId="4" xfId="1" applyFont="1" applyFill="1" applyBorder="1" applyAlignment="1">
      <alignment horizontal="center" vertical="center"/>
    </xf>
    <xf numFmtId="0" fontId="55" fillId="0" borderId="5" xfId="1" applyNumberFormat="1" applyFont="1" applyBorder="1" applyAlignment="1">
      <alignment horizontal="center" vertical="center"/>
    </xf>
    <xf numFmtId="0" fontId="56" fillId="0" borderId="0" xfId="49" applyFont="1"/>
    <xf numFmtId="0" fontId="57" fillId="0" borderId="0" xfId="49" applyFont="1" applyAlignment="1">
      <alignment horizontal="center" vertical="center" wrapText="1"/>
    </xf>
    <xf numFmtId="0" fontId="58" fillId="0" borderId="0" xfId="49" applyFont="1" applyAlignment="1">
      <alignment horizontal="center" vertical="center"/>
    </xf>
    <xf numFmtId="2" fontId="52" fillId="0" borderId="0" xfId="0" applyNumberFormat="1" applyFont="1"/>
    <xf numFmtId="0" fontId="53" fillId="5" borderId="6" xfId="49" applyFont="1" applyFill="1" applyBorder="1"/>
    <xf numFmtId="0" fontId="54" fillId="5" borderId="2" xfId="0" applyFont="1" applyFill="1" applyBorder="1" applyAlignment="1">
      <alignment horizontal="center"/>
    </xf>
    <xf numFmtId="0" fontId="55" fillId="0" borderId="1" xfId="49" applyFont="1" applyBorder="1" applyAlignment="1">
      <alignment horizontal="center" vertical="center"/>
    </xf>
    <xf numFmtId="0" fontId="53" fillId="5" borderId="1" xfId="49" applyFont="1" applyFill="1" applyBorder="1"/>
    <xf numFmtId="0" fontId="48" fillId="0" borderId="6" xfId="49" applyFont="1" applyBorder="1"/>
    <xf numFmtId="43" fontId="48" fillId="0" borderId="2" xfId="1" applyFont="1" applyBorder="1" applyAlignment="1">
      <alignment horizontal="center" vertical="center" wrapText="1"/>
    </xf>
    <xf numFmtId="43" fontId="48" fillId="0" borderId="3" xfId="1" applyFont="1" applyBorder="1" applyAlignment="1">
      <alignment horizontal="center" vertical="center" wrapText="1"/>
    </xf>
    <xf numFmtId="43" fontId="48" fillId="0" borderId="4" xfId="1" applyFont="1" applyBorder="1" applyAlignment="1">
      <alignment horizontal="center" vertical="center" wrapText="1"/>
    </xf>
    <xf numFmtId="2" fontId="48" fillId="0" borderId="1" xfId="1" applyNumberFormat="1" applyFont="1" applyBorder="1" applyAlignment="1">
      <alignment horizontal="center" vertical="center" wrapText="1" readingOrder="1"/>
    </xf>
    <xf numFmtId="0" fontId="46" fillId="5" borderId="6" xfId="49" applyFont="1" applyFill="1" applyBorder="1"/>
    <xf numFmtId="0" fontId="53" fillId="5" borderId="7" xfId="0" applyFont="1" applyFill="1" applyBorder="1" applyAlignment="1">
      <alignment horizontal="center"/>
    </xf>
    <xf numFmtId="0" fontId="53" fillId="5" borderId="8" xfId="0" applyFont="1" applyFill="1" applyBorder="1" applyAlignment="1">
      <alignment horizontal="center"/>
    </xf>
    <xf numFmtId="0" fontId="53" fillId="5" borderId="9" xfId="0" applyFont="1" applyFill="1" applyBorder="1" applyAlignment="1">
      <alignment horizontal="center"/>
    </xf>
    <xf numFmtId="2" fontId="53" fillId="5" borderId="6" xfId="0" applyNumberFormat="1" applyFont="1" applyFill="1" applyBorder="1" applyAlignment="1">
      <alignment horizontal="center"/>
    </xf>
    <xf numFmtId="43" fontId="54" fillId="0" borderId="0" xfId="1" applyFont="1" applyBorder="1" applyAlignment="1">
      <alignment horizontal="right" vertical="center" wrapText="1"/>
    </xf>
    <xf numFmtId="182" fontId="57" fillId="0" borderId="0" xfId="1" applyNumberFormat="1" applyFont="1" applyBorder="1" applyAlignment="1">
      <alignment horizontal="right" vertical="center" wrapText="1"/>
    </xf>
    <xf numFmtId="183" fontId="57" fillId="0" borderId="0" xfId="1" applyNumberFormat="1" applyFont="1" applyBorder="1" applyAlignment="1">
      <alignment horizontal="left" vertical="center" wrapText="1"/>
    </xf>
    <xf numFmtId="43" fontId="57" fillId="0" borderId="0" xfId="1" applyFont="1" applyBorder="1" applyAlignment="1">
      <alignment vertical="center" wrapText="1"/>
    </xf>
    <xf numFmtId="43" fontId="43" fillId="0" borderId="0" xfId="1" applyFont="1" applyBorder="1" applyAlignment="1">
      <alignment horizontal="left" vertical="center" wrapText="1"/>
    </xf>
    <xf numFmtId="43" fontId="57" fillId="0" borderId="1" xfId="1" applyFont="1" applyBorder="1" applyAlignment="1">
      <alignment horizontal="right" vertical="center" wrapText="1"/>
    </xf>
    <xf numFmtId="0" fontId="57" fillId="0" borderId="1" xfId="1" applyNumberFormat="1" applyFont="1" applyBorder="1" applyAlignment="1">
      <alignment horizontal="center" vertical="center" wrapText="1"/>
    </xf>
    <xf numFmtId="0" fontId="59" fillId="0" borderId="0" xfId="0" applyFont="1"/>
    <xf numFmtId="0" fontId="59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58" fontId="48" fillId="0" borderId="0" xfId="0" applyNumberFormat="1" applyFont="1" applyAlignment="1">
      <alignment horizontal="left"/>
    </xf>
    <xf numFmtId="0" fontId="60" fillId="0" borderId="0" xfId="0" applyFont="1" applyAlignment="1">
      <alignment vertical="center"/>
    </xf>
    <xf numFmtId="0" fontId="61" fillId="0" borderId="0" xfId="0" applyFont="1"/>
    <xf numFmtId="0" fontId="60" fillId="0" borderId="0" xfId="0" applyFont="1"/>
    <xf numFmtId="0" fontId="62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textRotation="135" wrapText="1"/>
    </xf>
    <xf numFmtId="0" fontId="63" fillId="0" borderId="1" xfId="0" applyFont="1" applyBorder="1" applyAlignment="1">
      <alignment horizontal="center" vertical="center"/>
    </xf>
    <xf numFmtId="0" fontId="64" fillId="0" borderId="1" xfId="49" applyFont="1" applyBorder="1" applyAlignment="1">
      <alignment horizontal="center" vertical="center" readingOrder="1"/>
    </xf>
    <xf numFmtId="0" fontId="0" fillId="0" borderId="1" xfId="0" applyBorder="1"/>
    <xf numFmtId="0" fontId="65" fillId="0" borderId="1" xfId="0" applyFont="1" applyBorder="1"/>
    <xf numFmtId="0" fontId="65" fillId="0" borderId="1" xfId="0" applyFont="1" applyBorder="1" applyAlignment="1">
      <alignment horizontal="center" vertical="center"/>
    </xf>
    <xf numFmtId="0" fontId="0" fillId="0" borderId="2" xfId="0" applyBorder="1"/>
    <xf numFmtId="0" fontId="66" fillId="0" borderId="1" xfId="0" applyFont="1" applyBorder="1"/>
    <xf numFmtId="58" fontId="66" fillId="0" borderId="1" xfId="0" applyNumberFormat="1" applyFont="1" applyBorder="1"/>
    <xf numFmtId="0" fontId="67" fillId="8" borderId="1" xfId="0" applyFont="1" applyFill="1" applyBorder="1"/>
    <xf numFmtId="0" fontId="67" fillId="0" borderId="1" xfId="0" applyFont="1" applyBorder="1"/>
    <xf numFmtId="181" fontId="66" fillId="5" borderId="1" xfId="0" applyNumberFormat="1" applyFont="1" applyFill="1" applyBorder="1"/>
    <xf numFmtId="0" fontId="60" fillId="0" borderId="1" xfId="0" applyFont="1" applyBorder="1"/>
    <xf numFmtId="0" fontId="61" fillId="0" borderId="1" xfId="0" applyFont="1" applyBorder="1"/>
    <xf numFmtId="0" fontId="64" fillId="0" borderId="1" xfId="49" applyFont="1" applyBorder="1" applyAlignment="1">
      <alignment horizontal="center" vertical="center" wrapText="1" readingOrder="1"/>
    </xf>
    <xf numFmtId="0" fontId="68" fillId="0" borderId="1" xfId="0" applyFont="1" applyBorder="1"/>
    <xf numFmtId="2" fontId="66" fillId="0" borderId="1" xfId="0" applyNumberFormat="1" applyFont="1" applyBorder="1"/>
    <xf numFmtId="0" fontId="69" fillId="0" borderId="1" xfId="0" applyFont="1" applyBorder="1"/>
    <xf numFmtId="2" fontId="70" fillId="0" borderId="1" xfId="0" applyNumberFormat="1" applyFont="1" applyBorder="1"/>
    <xf numFmtId="2" fontId="0" fillId="0" borderId="1" xfId="0" applyNumberFormat="1" applyBorder="1"/>
    <xf numFmtId="0" fontId="61" fillId="0" borderId="1" xfId="0" applyFont="1" applyBorder="1" applyAlignment="1">
      <alignment vertical="center" textRotation="135" wrapText="1"/>
    </xf>
    <xf numFmtId="0" fontId="61" fillId="0" borderId="8" xfId="0" applyFont="1" applyBorder="1" applyAlignment="1">
      <alignment vertical="center" textRotation="135" wrapText="1"/>
    </xf>
    <xf numFmtId="0" fontId="61" fillId="0" borderId="9" xfId="0" applyFont="1" applyBorder="1" applyAlignment="1">
      <alignment vertical="center" textRotation="135" wrapText="1"/>
    </xf>
    <xf numFmtId="0" fontId="60" fillId="0" borderId="1" xfId="0" applyFont="1" applyBorder="1" applyAlignment="1">
      <alignment vertical="center"/>
    </xf>
    <xf numFmtId="0" fontId="70" fillId="6" borderId="1" xfId="0" applyFont="1" applyFill="1" applyBorder="1" applyAlignment="1">
      <alignment horizontal="center" vertical="center"/>
    </xf>
    <xf numFmtId="2" fontId="66" fillId="5" borderId="1" xfId="0" applyNumberFormat="1" applyFont="1" applyFill="1" applyBorder="1" applyAlignment="1">
      <alignment horizontal="center"/>
    </xf>
    <xf numFmtId="0" fontId="70" fillId="0" borderId="1" xfId="0" applyFont="1" applyBorder="1" applyAlignment="1">
      <alignment horizontal="center"/>
    </xf>
    <xf numFmtId="2" fontId="71" fillId="0" borderId="0" xfId="0" applyNumberFormat="1" applyFont="1"/>
    <xf numFmtId="0" fontId="71" fillId="0" borderId="0" xfId="0" applyFont="1"/>
    <xf numFmtId="0" fontId="72" fillId="0" borderId="0" xfId="0" applyFont="1"/>
    <xf numFmtId="0" fontId="73" fillId="9" borderId="1" xfId="49" applyFont="1" applyFill="1" applyBorder="1"/>
    <xf numFmtId="0" fontId="74" fillId="9" borderId="1" xfId="49" applyFont="1" applyFill="1" applyBorder="1"/>
    <xf numFmtId="0" fontId="75" fillId="9" borderId="1" xfId="0" applyFont="1" applyFill="1" applyBorder="1"/>
    <xf numFmtId="0" fontId="73" fillId="0" borderId="0" xfId="49" applyFont="1"/>
    <xf numFmtId="0" fontId="74" fillId="0" borderId="0" xfId="49" applyFont="1"/>
    <xf numFmtId="0" fontId="76" fillId="0" borderId="0" xfId="0" applyFont="1"/>
    <xf numFmtId="0" fontId="73" fillId="0" borderId="1" xfId="49" applyFont="1" applyBorder="1"/>
    <xf numFmtId="0" fontId="77" fillId="0" borderId="1" xfId="49" applyFont="1" applyBorder="1"/>
    <xf numFmtId="0" fontId="78" fillId="0" borderId="1" xfId="49" applyFont="1" applyBorder="1"/>
    <xf numFmtId="0" fontId="73" fillId="0" borderId="6" xfId="49" applyFont="1" applyBorder="1"/>
    <xf numFmtId="0" fontId="74" fillId="10" borderId="6" xfId="49" applyFont="1" applyFill="1" applyBorder="1"/>
    <xf numFmtId="0" fontId="77" fillId="10" borderId="6" xfId="49" applyFont="1" applyFill="1" applyBorder="1"/>
    <xf numFmtId="0" fontId="78" fillId="10" borderId="6" xfId="49" applyFont="1" applyFill="1" applyBorder="1"/>
    <xf numFmtId="0" fontId="73" fillId="0" borderId="10" xfId="49" applyFont="1" applyBorder="1"/>
    <xf numFmtId="0" fontId="77" fillId="11" borderId="10" xfId="49" applyFont="1" applyFill="1" applyBorder="1"/>
    <xf numFmtId="0" fontId="77" fillId="0" borderId="10" xfId="49" applyFont="1" applyBorder="1"/>
    <xf numFmtId="0" fontId="73" fillId="0" borderId="5" xfId="49" applyFont="1" applyBorder="1"/>
    <xf numFmtId="0" fontId="77" fillId="11" borderId="5" xfId="49" applyFont="1" applyFill="1" applyBorder="1"/>
    <xf numFmtId="0" fontId="77" fillId="0" borderId="5" xfId="49" applyFont="1" applyBorder="1"/>
    <xf numFmtId="58" fontId="66" fillId="0" borderId="6" xfId="0" applyNumberFormat="1" applyFont="1" applyBorder="1"/>
    <xf numFmtId="181" fontId="66" fillId="5" borderId="6" xfId="0" applyNumberFormat="1" applyFont="1" applyFill="1" applyBorder="1"/>
    <xf numFmtId="0" fontId="0" fillId="0" borderId="0" xfId="0" applyBorder="1"/>
    <xf numFmtId="2" fontId="60" fillId="0" borderId="0" xfId="0" applyNumberFormat="1" applyFont="1"/>
    <xf numFmtId="181" fontId="60" fillId="0" borderId="0" xfId="0" applyNumberFormat="1" applyFont="1"/>
    <xf numFmtId="0" fontId="67" fillId="0" borderId="1" xfId="0" applyFont="1" applyBorder="1" applyAlignment="1">
      <alignment horizontal="center"/>
    </xf>
    <xf numFmtId="0" fontId="68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9" fillId="0" borderId="1" xfId="0" applyFont="1" applyBorder="1" applyAlignment="1">
      <alignment horizontal="center"/>
    </xf>
    <xf numFmtId="0" fontId="80" fillId="0" borderId="1" xfId="0" applyFont="1" applyBorder="1"/>
    <xf numFmtId="2" fontId="66" fillId="5" borderId="6" xfId="0" applyNumberFormat="1" applyFont="1" applyFill="1" applyBorder="1" applyAlignment="1">
      <alignment horizontal="center"/>
    </xf>
    <xf numFmtId="2" fontId="81" fillId="5" borderId="6" xfId="0" applyNumberFormat="1" applyFont="1" applyFill="1" applyBorder="1" applyAlignment="1">
      <alignment horizontal="center"/>
    </xf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</cellXfs>
  <cellStyles count="54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xcel Built-in Normal" xfId="49"/>
    <cellStyle name="Excel Built-in Normal 2" xfId="50"/>
    <cellStyle name="Milliers [0] 2" xfId="51"/>
    <cellStyle name="Milliers 2" xfId="52"/>
    <cellStyle name="Normal 2" xfId="53"/>
  </cellStyles>
  <dxfs count="3">
    <dxf>
      <font>
        <b val="1"/>
        <i val="0"/>
      </font>
      <fill>
        <patternFill patternType="solid">
          <bgColor theme="9" tint="0.399914548173467"/>
        </patternFill>
      </fill>
    </dxf>
    <dxf>
      <numFmt numFmtId="184" formatCode="0;\-0;&quot;-&quot;"/>
    </dxf>
    <dxf>
      <font>
        <b val="1"/>
        <i val="0"/>
      </font>
      <fill>
        <patternFill patternType="solid">
          <bgColor theme="9" tint="0.3999450666829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5174319</xdr:colOff>
      <xdr:row>0</xdr:row>
      <xdr:rowOff>14111</xdr:rowOff>
    </xdr:from>
    <xdr:to>
      <xdr:col>3</xdr:col>
      <xdr:colOff>105833</xdr:colOff>
      <xdr:row>0</xdr:row>
      <xdr:rowOff>1806222</xdr:rowOff>
    </xdr:to>
    <xdr:pic>
      <xdr:nvPicPr>
        <xdr:cNvPr id="3" name="Image 2"/>
        <xdr:cNvPicPr/>
      </xdr:nvPicPr>
      <xdr:blipFill>
        <a:blip r:embed="rId1"/>
        <a:stretch>
          <a:fillRect/>
        </a:stretch>
      </xdr:blipFill>
      <xdr:spPr>
        <a:xfrm>
          <a:off x="6395085" y="13970"/>
          <a:ext cx="1998980" cy="17919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625475</xdr:colOff>
          <xdr:row>10</xdr:row>
          <xdr:rowOff>174625</xdr:rowOff>
        </xdr:from>
        <xdr:to>
          <xdr:col>12</xdr:col>
          <xdr:colOff>22225</xdr:colOff>
          <xdr:row>14</xdr:row>
          <xdr:rowOff>136525</xdr:rowOff>
        </xdr:to>
        <xdr:sp macro="[0]!Feuil5.IMPRESS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53820" y="5794375"/>
              <a:ext cx="3797300" cy="1120140"/>
            </a:xfrm>
            <a:prstGeom prst="rect">
              <a:avLst/>
            </a:prstGeom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Garamond" panose="02020404030301010803"/>
                </a:rPr>
                <a:t>IMPRIMER BULLETIN</a:t>
              </a:r>
              <a:endParaRPr lang="fr-FR" sz="1400" b="1" i="0" u="none" strike="noStrike" baseline="0">
                <a:solidFill>
                  <a:srgbClr val="000000"/>
                </a:solidFill>
                <a:latin typeface="Garamond" panose="02020404030301010803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625475</xdr:colOff>
          <xdr:row>16</xdr:row>
          <xdr:rowOff>212725</xdr:rowOff>
        </xdr:from>
        <xdr:to>
          <xdr:col>11</xdr:col>
          <xdr:colOff>603250</xdr:colOff>
          <xdr:row>21</xdr:row>
          <xdr:rowOff>184150</xdr:rowOff>
        </xdr:to>
        <xdr:sp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4053820" y="7585710"/>
              <a:ext cx="3644900" cy="13811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5223827</xdr:colOff>
      <xdr:row>0</xdr:row>
      <xdr:rowOff>23065</xdr:rowOff>
    </xdr:from>
    <xdr:to>
      <xdr:col>3</xdr:col>
      <xdr:colOff>405695</xdr:colOff>
      <xdr:row>0</xdr:row>
      <xdr:rowOff>1799166</xdr:rowOff>
    </xdr:to>
    <xdr:pic>
      <xdr:nvPicPr>
        <xdr:cNvPr id="2" name="Image 1"/>
        <xdr:cNvPicPr/>
      </xdr:nvPicPr>
      <xdr:blipFill>
        <a:blip r:embed="rId1"/>
        <a:stretch>
          <a:fillRect/>
        </a:stretch>
      </xdr:blipFill>
      <xdr:spPr>
        <a:xfrm>
          <a:off x="5800090" y="22860"/>
          <a:ext cx="2123440" cy="17760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212725</xdr:colOff>
          <xdr:row>8</xdr:row>
          <xdr:rowOff>152400</xdr:rowOff>
        </xdr:from>
        <xdr:to>
          <xdr:col>13</xdr:col>
          <xdr:colOff>327025</xdr:colOff>
          <xdr:row>12</xdr:row>
          <xdr:rowOff>234950</xdr:rowOff>
        </xdr:to>
        <xdr:sp macro="[0]!Feuil5.IMPRESSION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14451965" y="5233670"/>
              <a:ext cx="3749675" cy="1216025"/>
            </a:xfrm>
            <a:prstGeom prst="rect">
              <a:avLst/>
            </a:prstGeom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Garamond" panose="02020404030301010803"/>
                </a:rPr>
                <a:t>IMPRIMER BULLETIN</a:t>
              </a:r>
              <a:endParaRPr lang="fr-FR" sz="1400" b="1" i="0" u="none" strike="noStrike" baseline="0">
                <a:solidFill>
                  <a:srgbClr val="000000"/>
                </a:solidFill>
                <a:latin typeface="Garamond" panose="02020404030301010803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196850</xdr:colOff>
          <xdr:row>17</xdr:row>
          <xdr:rowOff>76200</xdr:rowOff>
        </xdr:from>
        <xdr:to>
          <xdr:col>13</xdr:col>
          <xdr:colOff>174625</xdr:colOff>
          <xdr:row>22</xdr:row>
          <xdr:rowOff>44450</xdr:rowOff>
        </xdr:to>
        <xdr:sp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14436090" y="7741285"/>
              <a:ext cx="3613150" cy="1377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ulletins_ISEP2_2023-2024%20(2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mestre1"/>
      <sheetName val="Semestre2"/>
      <sheetName val="Feuil1"/>
      <sheetName val="matiere"/>
      <sheetName val="bulletin"/>
    </sheetNames>
    <sheetDataSet>
      <sheetData sheetId="0">
        <row r="4">
          <cell r="C4" t="str">
            <v>Prénom nom</v>
          </cell>
          <cell r="D4" t="str">
            <v>Nationalité</v>
          </cell>
          <cell r="E4" t="str">
            <v>Date de naissance</v>
          </cell>
        </row>
        <row r="5">
          <cell r="C5" t="str">
            <v>Khadidiatou COULIBALY</v>
          </cell>
          <cell r="D5" t="str">
            <v>Sénégalaise</v>
          </cell>
        </row>
        <row r="5">
          <cell r="F5">
            <v>20</v>
          </cell>
          <cell r="G5">
            <v>20</v>
          </cell>
        </row>
        <row r="5">
          <cell r="I5">
            <v>18</v>
          </cell>
          <cell r="J5">
            <v>18.25</v>
          </cell>
        </row>
        <row r="5">
          <cell r="L5">
            <v>20</v>
          </cell>
        </row>
        <row r="5">
          <cell r="O5">
            <v>15</v>
          </cell>
        </row>
        <row r="5">
          <cell r="R5">
            <v>19.75</v>
          </cell>
          <cell r="S5">
            <v>15.5</v>
          </cell>
        </row>
        <row r="5">
          <cell r="U5">
            <v>16.5</v>
          </cell>
        </row>
        <row r="5">
          <cell r="X5">
            <v>18.5</v>
          </cell>
        </row>
        <row r="5">
          <cell r="AA5">
            <v>16.7</v>
          </cell>
        </row>
        <row r="5">
          <cell r="AD5">
            <v>17</v>
          </cell>
          <cell r="AE5">
            <v>18</v>
          </cell>
        </row>
        <row r="5">
          <cell r="AG5">
            <v>16</v>
          </cell>
          <cell r="AH5">
            <v>15</v>
          </cell>
        </row>
        <row r="5">
          <cell r="AJ5">
            <v>19.5</v>
          </cell>
        </row>
        <row r="5">
          <cell r="AM5">
            <v>17.7270833333333</v>
          </cell>
        </row>
        <row r="6">
          <cell r="C6" t="str">
            <v>Sarah-Laure FOGWOUNG DJOUFACK</v>
          </cell>
          <cell r="D6" t="str">
            <v>Camerounaise</v>
          </cell>
        </row>
        <row r="6">
          <cell r="F6">
            <v>17.5</v>
          </cell>
          <cell r="G6">
            <v>19.5</v>
          </cell>
        </row>
        <row r="6">
          <cell r="I6">
            <v>18</v>
          </cell>
          <cell r="J6">
            <v>17.5</v>
          </cell>
        </row>
        <row r="6">
          <cell r="L6">
            <v>19.5</v>
          </cell>
        </row>
        <row r="6">
          <cell r="O6">
            <v>16</v>
          </cell>
        </row>
        <row r="6">
          <cell r="R6">
            <v>19.5</v>
          </cell>
          <cell r="S6">
            <v>16</v>
          </cell>
        </row>
        <row r="6">
          <cell r="U6">
            <v>15</v>
          </cell>
        </row>
        <row r="6">
          <cell r="X6">
            <v>16</v>
          </cell>
        </row>
        <row r="6">
          <cell r="AA6">
            <v>15.7</v>
          </cell>
        </row>
        <row r="6">
          <cell r="AD6">
            <v>15</v>
          </cell>
          <cell r="AE6">
            <v>16</v>
          </cell>
        </row>
        <row r="6">
          <cell r="AG6">
            <v>15</v>
          </cell>
          <cell r="AH6">
            <v>17</v>
          </cell>
        </row>
        <row r="6">
          <cell r="AJ6">
            <v>17.75</v>
          </cell>
        </row>
        <row r="6">
          <cell r="AM6">
            <v>17.0041666666667</v>
          </cell>
        </row>
        <row r="7">
          <cell r="C7" t="str">
            <v>Malick SENE</v>
          </cell>
          <cell r="D7" t="str">
            <v>Sénégalaise</v>
          </cell>
        </row>
        <row r="7">
          <cell r="F7">
            <v>16.5</v>
          </cell>
          <cell r="G7">
            <v>16.5</v>
          </cell>
        </row>
        <row r="7">
          <cell r="I7">
            <v>17</v>
          </cell>
          <cell r="J7">
            <v>15</v>
          </cell>
        </row>
        <row r="7">
          <cell r="L7">
            <v>18</v>
          </cell>
        </row>
        <row r="7">
          <cell r="O7">
            <v>15</v>
          </cell>
        </row>
        <row r="7">
          <cell r="R7">
            <v>18.25</v>
          </cell>
          <cell r="S7">
            <v>16</v>
          </cell>
        </row>
        <row r="7">
          <cell r="U7">
            <v>17</v>
          </cell>
        </row>
        <row r="7">
          <cell r="X7">
            <v>17.5</v>
          </cell>
        </row>
        <row r="7">
          <cell r="AA7">
            <v>15.2</v>
          </cell>
        </row>
        <row r="7">
          <cell r="AD7">
            <v>16</v>
          </cell>
          <cell r="AE7">
            <v>17</v>
          </cell>
        </row>
        <row r="7">
          <cell r="AG7">
            <v>15</v>
          </cell>
          <cell r="AH7">
            <v>16</v>
          </cell>
        </row>
        <row r="7">
          <cell r="AJ7">
            <v>18.5</v>
          </cell>
        </row>
        <row r="7">
          <cell r="AM7">
            <v>16.5125</v>
          </cell>
        </row>
        <row r="8">
          <cell r="C8" t="str">
            <v>Ameth FAYE</v>
          </cell>
          <cell r="D8" t="str">
            <v>Sénégalaise</v>
          </cell>
        </row>
        <row r="8">
          <cell r="F8">
            <v>16.5</v>
          </cell>
          <cell r="G8">
            <v>17</v>
          </cell>
        </row>
        <row r="8">
          <cell r="I8">
            <v>14.25</v>
          </cell>
          <cell r="J8">
            <v>10.25</v>
          </cell>
        </row>
        <row r="8">
          <cell r="L8">
            <v>20</v>
          </cell>
        </row>
        <row r="8">
          <cell r="O8">
            <v>16</v>
          </cell>
        </row>
        <row r="8">
          <cell r="R8">
            <v>17.5</v>
          </cell>
          <cell r="S8">
            <v>15</v>
          </cell>
        </row>
        <row r="8">
          <cell r="U8">
            <v>15</v>
          </cell>
        </row>
        <row r="8">
          <cell r="X8">
            <v>16</v>
          </cell>
        </row>
        <row r="8">
          <cell r="AA8">
            <v>15.1</v>
          </cell>
        </row>
        <row r="8">
          <cell r="AD8">
            <v>18</v>
          </cell>
          <cell r="AE8">
            <v>19</v>
          </cell>
        </row>
        <row r="8">
          <cell r="AG8">
            <v>14.5</v>
          </cell>
          <cell r="AH8">
            <v>15</v>
          </cell>
        </row>
        <row r="8">
          <cell r="AJ8">
            <v>16</v>
          </cell>
        </row>
        <row r="8">
          <cell r="AM8">
            <v>16.0583333333333</v>
          </cell>
        </row>
        <row r="9">
          <cell r="C9" t="str">
            <v>Awa DIAW</v>
          </cell>
          <cell r="D9" t="str">
            <v>Sénégalaise</v>
          </cell>
        </row>
        <row r="9">
          <cell r="F9">
            <v>14.5</v>
          </cell>
          <cell r="G9">
            <v>18.5</v>
          </cell>
        </row>
        <row r="9">
          <cell r="I9">
            <v>16.75</v>
          </cell>
          <cell r="J9">
            <v>14.75</v>
          </cell>
        </row>
        <row r="9">
          <cell r="L9">
            <v>19.5</v>
          </cell>
        </row>
        <row r="9">
          <cell r="O9">
            <v>15</v>
          </cell>
        </row>
        <row r="9">
          <cell r="R9">
            <v>17.5</v>
          </cell>
          <cell r="S9">
            <v>15.5</v>
          </cell>
        </row>
        <row r="9">
          <cell r="U9">
            <v>15.5</v>
          </cell>
        </row>
        <row r="9">
          <cell r="X9">
            <v>11</v>
          </cell>
        </row>
        <row r="9">
          <cell r="AA9">
            <v>15.5</v>
          </cell>
        </row>
        <row r="9">
          <cell r="AD9">
            <v>15</v>
          </cell>
          <cell r="AE9">
            <v>16</v>
          </cell>
        </row>
        <row r="9">
          <cell r="AG9">
            <v>15.5</v>
          </cell>
          <cell r="AH9">
            <v>17</v>
          </cell>
        </row>
        <row r="9">
          <cell r="AJ9">
            <v>18</v>
          </cell>
        </row>
        <row r="9">
          <cell r="AM9">
            <v>15.9958333333333</v>
          </cell>
        </row>
        <row r="10">
          <cell r="C10" t="str">
            <v>Tamsir NDONG</v>
          </cell>
          <cell r="D10" t="str">
            <v>Sénégalaise</v>
          </cell>
        </row>
        <row r="10">
          <cell r="F10">
            <v>17.5</v>
          </cell>
          <cell r="G10">
            <v>17.5</v>
          </cell>
        </row>
        <row r="10">
          <cell r="I10">
            <v>16.75</v>
          </cell>
          <cell r="J10">
            <v>16</v>
          </cell>
        </row>
        <row r="10">
          <cell r="L10">
            <v>19</v>
          </cell>
        </row>
        <row r="10">
          <cell r="O10">
            <v>15</v>
          </cell>
        </row>
        <row r="10">
          <cell r="R10">
            <v>15.25</v>
          </cell>
          <cell r="S10">
            <v>16</v>
          </cell>
        </row>
        <row r="10">
          <cell r="U10">
            <v>15.5</v>
          </cell>
        </row>
        <row r="10">
          <cell r="X10">
            <v>12</v>
          </cell>
        </row>
        <row r="10">
          <cell r="AA10">
            <v>14.5</v>
          </cell>
        </row>
        <row r="10">
          <cell r="AD10">
            <v>15</v>
          </cell>
          <cell r="AE10">
            <v>17</v>
          </cell>
        </row>
        <row r="10">
          <cell r="AG10">
            <v>15.5</v>
          </cell>
          <cell r="AH10">
            <v>15</v>
          </cell>
        </row>
        <row r="10">
          <cell r="AJ10">
            <v>15.5</v>
          </cell>
        </row>
        <row r="10">
          <cell r="AM10">
            <v>15.8395833333333</v>
          </cell>
        </row>
        <row r="11">
          <cell r="C11" t="str">
            <v>Khadidiatou DIAKHATE</v>
          </cell>
          <cell r="D11" t="str">
            <v>Sénégalaise</v>
          </cell>
        </row>
        <row r="11">
          <cell r="F11">
            <v>17.5</v>
          </cell>
          <cell r="G11">
            <v>15.5</v>
          </cell>
        </row>
        <row r="11">
          <cell r="I11">
            <v>16.75</v>
          </cell>
          <cell r="J11">
            <v>16</v>
          </cell>
        </row>
        <row r="11">
          <cell r="L11">
            <v>18</v>
          </cell>
        </row>
        <row r="11">
          <cell r="O11">
            <v>14</v>
          </cell>
        </row>
        <row r="11">
          <cell r="R11">
            <v>16.5</v>
          </cell>
          <cell r="S11">
            <v>13.5</v>
          </cell>
        </row>
        <row r="11">
          <cell r="U11">
            <v>16.5</v>
          </cell>
        </row>
        <row r="11">
          <cell r="X11">
            <v>17</v>
          </cell>
        </row>
        <row r="11">
          <cell r="AA11">
            <v>15.5</v>
          </cell>
        </row>
        <row r="11">
          <cell r="AD11">
            <v>15</v>
          </cell>
          <cell r="AE11">
            <v>15</v>
          </cell>
        </row>
        <row r="11">
          <cell r="AG11">
            <v>14.5</v>
          </cell>
          <cell r="AH11">
            <v>14</v>
          </cell>
        </row>
        <row r="11">
          <cell r="AJ11">
            <v>16.5</v>
          </cell>
        </row>
        <row r="11">
          <cell r="AM11">
            <v>15.8270833333333</v>
          </cell>
        </row>
        <row r="12">
          <cell r="C12" t="str">
            <v>Ahmadou NIASS</v>
          </cell>
          <cell r="D12" t="str">
            <v>Sénégalaise</v>
          </cell>
        </row>
        <row r="12">
          <cell r="F12">
            <v>14.5</v>
          </cell>
          <cell r="G12">
            <v>15.5</v>
          </cell>
        </row>
        <row r="12">
          <cell r="I12">
            <v>15.75</v>
          </cell>
          <cell r="J12">
            <v>14</v>
          </cell>
        </row>
        <row r="12">
          <cell r="L12">
            <v>16</v>
          </cell>
        </row>
        <row r="12">
          <cell r="O12">
            <v>16</v>
          </cell>
        </row>
        <row r="12">
          <cell r="R12">
            <v>19.5</v>
          </cell>
          <cell r="S12">
            <v>14.5</v>
          </cell>
        </row>
        <row r="12">
          <cell r="U12">
            <v>15</v>
          </cell>
        </row>
        <row r="12">
          <cell r="X12">
            <v>14</v>
          </cell>
        </row>
        <row r="12">
          <cell r="AA12">
            <v>15.1</v>
          </cell>
        </row>
        <row r="12">
          <cell r="AD12">
            <v>16</v>
          </cell>
          <cell r="AE12">
            <v>16</v>
          </cell>
        </row>
        <row r="12">
          <cell r="AG12">
            <v>12.5</v>
          </cell>
          <cell r="AH12">
            <v>17</v>
          </cell>
        </row>
        <row r="12">
          <cell r="AJ12">
            <v>18.75</v>
          </cell>
        </row>
        <row r="12">
          <cell r="AM12">
            <v>15.6770833333333</v>
          </cell>
        </row>
        <row r="13">
          <cell r="C13" t="str">
            <v>Papa Amadou NIANG</v>
          </cell>
          <cell r="D13" t="str">
            <v>Sénégalaise</v>
          </cell>
        </row>
        <row r="13">
          <cell r="F13">
            <v>11</v>
          </cell>
          <cell r="G13">
            <v>14.5</v>
          </cell>
        </row>
        <row r="13">
          <cell r="I13">
            <v>17.5</v>
          </cell>
          <cell r="J13">
            <v>13</v>
          </cell>
        </row>
        <row r="13">
          <cell r="L13">
            <v>18</v>
          </cell>
        </row>
        <row r="13">
          <cell r="O13">
            <v>14</v>
          </cell>
        </row>
        <row r="13">
          <cell r="R13">
            <v>18</v>
          </cell>
          <cell r="S13">
            <v>13.5</v>
          </cell>
        </row>
        <row r="13">
          <cell r="U13">
            <v>16.5</v>
          </cell>
        </row>
        <row r="13">
          <cell r="X13">
            <v>14</v>
          </cell>
        </row>
        <row r="13">
          <cell r="AA13">
            <v>18.4</v>
          </cell>
        </row>
        <row r="13">
          <cell r="AD13">
            <v>18</v>
          </cell>
          <cell r="AE13">
            <v>17</v>
          </cell>
        </row>
        <row r="13">
          <cell r="AG13">
            <v>13.5</v>
          </cell>
          <cell r="AH13">
            <v>15</v>
          </cell>
        </row>
        <row r="13">
          <cell r="AJ13">
            <v>15.75</v>
          </cell>
        </row>
        <row r="13">
          <cell r="AM13">
            <v>15.5333333333333</v>
          </cell>
        </row>
        <row r="14">
          <cell r="C14" t="str">
            <v>Celina NGUEMFOUO NGOUMTSA</v>
          </cell>
          <cell r="D14" t="str">
            <v>Camerounaise</v>
          </cell>
        </row>
        <row r="14">
          <cell r="F14">
            <v>19</v>
          </cell>
          <cell r="G14">
            <v>16.5</v>
          </cell>
        </row>
        <row r="14">
          <cell r="I14">
            <v>17.5</v>
          </cell>
          <cell r="J14">
            <v>17</v>
          </cell>
        </row>
        <row r="14">
          <cell r="L14">
            <v>15.5</v>
          </cell>
        </row>
        <row r="14">
          <cell r="O14">
            <v>15</v>
          </cell>
        </row>
        <row r="14">
          <cell r="R14">
            <v>16.25</v>
          </cell>
          <cell r="S14">
            <v>10.5</v>
          </cell>
        </row>
        <row r="14">
          <cell r="U14">
            <v>15</v>
          </cell>
        </row>
        <row r="14">
          <cell r="X14">
            <v>16</v>
          </cell>
        </row>
        <row r="14">
          <cell r="AA14">
            <v>14.7</v>
          </cell>
        </row>
        <row r="14">
          <cell r="AD14">
            <v>15</v>
          </cell>
          <cell r="AE14">
            <v>18</v>
          </cell>
        </row>
        <row r="14">
          <cell r="AG14">
            <v>15</v>
          </cell>
          <cell r="AH14">
            <v>16</v>
          </cell>
        </row>
        <row r="14">
          <cell r="AJ14">
            <v>12.75</v>
          </cell>
        </row>
        <row r="14">
          <cell r="AM14">
            <v>15.5208333333333</v>
          </cell>
        </row>
        <row r="15">
          <cell r="C15" t="str">
            <v>Samba DIENG</v>
          </cell>
          <cell r="D15" t="str">
            <v>Sénégalaise</v>
          </cell>
        </row>
        <row r="15">
          <cell r="F15">
            <v>14.5</v>
          </cell>
          <cell r="G15">
            <v>13.5</v>
          </cell>
        </row>
        <row r="15">
          <cell r="I15">
            <v>18.25</v>
          </cell>
          <cell r="J15">
            <v>12.25</v>
          </cell>
        </row>
        <row r="15">
          <cell r="L15">
            <v>18</v>
          </cell>
        </row>
        <row r="15">
          <cell r="O15">
            <v>15</v>
          </cell>
        </row>
        <row r="15">
          <cell r="R15">
            <v>19</v>
          </cell>
          <cell r="S15">
            <v>14.75</v>
          </cell>
        </row>
        <row r="15">
          <cell r="U15">
            <v>17</v>
          </cell>
        </row>
        <row r="15">
          <cell r="X15">
            <v>10</v>
          </cell>
        </row>
        <row r="15">
          <cell r="AA15">
            <v>17.3</v>
          </cell>
        </row>
        <row r="15">
          <cell r="AD15">
            <v>16</v>
          </cell>
          <cell r="AE15">
            <v>16</v>
          </cell>
        </row>
        <row r="15">
          <cell r="AG15">
            <v>14.5</v>
          </cell>
          <cell r="AH15">
            <v>13</v>
          </cell>
        </row>
        <row r="15">
          <cell r="AJ15">
            <v>13.25</v>
          </cell>
        </row>
        <row r="15">
          <cell r="AM15">
            <v>15.275</v>
          </cell>
        </row>
        <row r="16">
          <cell r="C16" t="str">
            <v>Jeanne De La Fleche ONANENA AMANA</v>
          </cell>
          <cell r="D16" t="str">
            <v>Camerounaise</v>
          </cell>
        </row>
        <row r="16">
          <cell r="F16">
            <v>13.5</v>
          </cell>
          <cell r="G16">
            <v>10.5</v>
          </cell>
        </row>
        <row r="16">
          <cell r="I16">
            <v>16</v>
          </cell>
          <cell r="J16">
            <v>12.75</v>
          </cell>
        </row>
        <row r="16">
          <cell r="L16">
            <v>20</v>
          </cell>
        </row>
        <row r="16">
          <cell r="O16">
            <v>15</v>
          </cell>
        </row>
        <row r="16">
          <cell r="R16">
            <v>17</v>
          </cell>
          <cell r="S16">
            <v>12.5</v>
          </cell>
        </row>
        <row r="16">
          <cell r="U16">
            <v>17</v>
          </cell>
        </row>
        <row r="16">
          <cell r="X16">
            <v>16</v>
          </cell>
        </row>
        <row r="16">
          <cell r="AA16">
            <v>16.2</v>
          </cell>
        </row>
        <row r="16">
          <cell r="AD16">
            <v>17</v>
          </cell>
          <cell r="AE16">
            <v>16</v>
          </cell>
        </row>
        <row r="16">
          <cell r="AG16">
            <v>13.5</v>
          </cell>
          <cell r="AH16">
            <v>14</v>
          </cell>
        </row>
        <row r="16">
          <cell r="AJ16">
            <v>11</v>
          </cell>
        </row>
        <row r="16">
          <cell r="AM16">
            <v>15.1270833333333</v>
          </cell>
        </row>
        <row r="17">
          <cell r="C17" t="str">
            <v>Mama Balla BOUSSO</v>
          </cell>
          <cell r="D17" t="str">
            <v>Sénégalaise</v>
          </cell>
          <cell r="E17">
            <v>37176</v>
          </cell>
          <cell r="F17">
            <v>13</v>
          </cell>
          <cell r="G17">
            <v>12</v>
          </cell>
        </row>
        <row r="17">
          <cell r="I17">
            <v>16.5</v>
          </cell>
          <cell r="J17">
            <v>13.25</v>
          </cell>
        </row>
        <row r="17">
          <cell r="L17">
            <v>19</v>
          </cell>
        </row>
        <row r="17">
          <cell r="O17">
            <v>14</v>
          </cell>
        </row>
        <row r="17">
          <cell r="R17">
            <v>17.25</v>
          </cell>
          <cell r="S17">
            <v>14.5</v>
          </cell>
        </row>
        <row r="17">
          <cell r="U17">
            <v>15.5</v>
          </cell>
        </row>
        <row r="17">
          <cell r="X17">
            <v>15</v>
          </cell>
        </row>
        <row r="17">
          <cell r="AA17">
            <v>14.8</v>
          </cell>
        </row>
        <row r="17">
          <cell r="AD17">
            <v>16</v>
          </cell>
          <cell r="AE17">
            <v>18</v>
          </cell>
        </row>
        <row r="17">
          <cell r="AG17">
            <v>15</v>
          </cell>
          <cell r="AH17">
            <v>16</v>
          </cell>
        </row>
        <row r="17">
          <cell r="AJ17">
            <v>12.25</v>
          </cell>
        </row>
        <row r="17">
          <cell r="AM17">
            <v>15.08125</v>
          </cell>
        </row>
        <row r="18">
          <cell r="C18" t="str">
            <v>Alioune Abdou Salam KANE</v>
          </cell>
          <cell r="D18" t="str">
            <v>Sénégalaise</v>
          </cell>
        </row>
        <row r="18">
          <cell r="F18">
            <v>11.5</v>
          </cell>
          <cell r="G18">
            <v>11</v>
          </cell>
        </row>
        <row r="18">
          <cell r="I18">
            <v>10</v>
          </cell>
          <cell r="J18">
            <v>8.75</v>
          </cell>
        </row>
        <row r="18">
          <cell r="L18">
            <v>16</v>
          </cell>
        </row>
        <row r="18">
          <cell r="O18">
            <v>14</v>
          </cell>
        </row>
        <row r="18">
          <cell r="R18">
            <v>17.25</v>
          </cell>
          <cell r="S18">
            <v>14.5</v>
          </cell>
        </row>
        <row r="18">
          <cell r="U18">
            <v>16.5</v>
          </cell>
        </row>
        <row r="18">
          <cell r="X18">
            <v>17.5</v>
          </cell>
        </row>
        <row r="18">
          <cell r="AA18">
            <v>15.5</v>
          </cell>
        </row>
        <row r="18">
          <cell r="AD18">
            <v>16</v>
          </cell>
          <cell r="AE18">
            <v>16</v>
          </cell>
        </row>
        <row r="18">
          <cell r="AG18">
            <v>14.5</v>
          </cell>
          <cell r="AH18">
            <v>17</v>
          </cell>
        </row>
        <row r="18">
          <cell r="AJ18">
            <v>16.75</v>
          </cell>
        </row>
        <row r="18">
          <cell r="AM18">
            <v>14.51875</v>
          </cell>
        </row>
        <row r="19">
          <cell r="C19" t="str">
            <v>Hildegarde EDIMA BIYENDA</v>
          </cell>
          <cell r="D19" t="str">
            <v>Camerounaise</v>
          </cell>
        </row>
        <row r="19">
          <cell r="F19">
            <v>14.5</v>
          </cell>
          <cell r="G19">
            <v>14</v>
          </cell>
        </row>
        <row r="19">
          <cell r="I19">
            <v>13.75</v>
          </cell>
          <cell r="J19">
            <v>10.25</v>
          </cell>
        </row>
        <row r="19">
          <cell r="L19">
            <v>11</v>
          </cell>
        </row>
        <row r="19">
          <cell r="O19">
            <v>14</v>
          </cell>
        </row>
        <row r="19">
          <cell r="R19">
            <v>17</v>
          </cell>
          <cell r="S19">
            <v>11.25</v>
          </cell>
        </row>
        <row r="19">
          <cell r="U19">
            <v>15.5</v>
          </cell>
        </row>
        <row r="19">
          <cell r="X19">
            <v>12</v>
          </cell>
        </row>
        <row r="19">
          <cell r="AA19">
            <v>15.2</v>
          </cell>
        </row>
        <row r="19">
          <cell r="AD19">
            <v>16</v>
          </cell>
          <cell r="AE19">
            <v>15</v>
          </cell>
        </row>
        <row r="19">
          <cell r="AG19">
            <v>15</v>
          </cell>
          <cell r="AH19">
            <v>15</v>
          </cell>
        </row>
        <row r="19">
          <cell r="AJ19">
            <v>13</v>
          </cell>
        </row>
        <row r="19">
          <cell r="AM19">
            <v>13.7</v>
          </cell>
        </row>
        <row r="20">
          <cell r="C20" t="str">
            <v>Ange Emilson Rayan RAHERINASOLO</v>
          </cell>
          <cell r="D20" t="str">
            <v>Malgache</v>
          </cell>
        </row>
        <row r="20">
          <cell r="F20">
            <v>12</v>
          </cell>
          <cell r="G20">
            <v>7</v>
          </cell>
        </row>
        <row r="20">
          <cell r="I20">
            <v>11.25</v>
          </cell>
          <cell r="J20">
            <v>8.25</v>
          </cell>
        </row>
        <row r="20">
          <cell r="L20">
            <v>11</v>
          </cell>
        </row>
        <row r="20">
          <cell r="O20">
            <v>15</v>
          </cell>
        </row>
        <row r="20">
          <cell r="R20">
            <v>16.25</v>
          </cell>
          <cell r="S20">
            <v>10.25</v>
          </cell>
        </row>
        <row r="20">
          <cell r="U20">
            <v>17</v>
          </cell>
        </row>
        <row r="20">
          <cell r="X20">
            <v>12</v>
          </cell>
        </row>
        <row r="20">
          <cell r="AA20">
            <v>14.7</v>
          </cell>
        </row>
        <row r="20">
          <cell r="AD20">
            <v>15</v>
          </cell>
          <cell r="AE20">
            <v>15</v>
          </cell>
        </row>
        <row r="20">
          <cell r="AG20">
            <v>13.5</v>
          </cell>
          <cell r="AH20">
            <v>13</v>
          </cell>
        </row>
        <row r="20">
          <cell r="AJ20">
            <v>13.75</v>
          </cell>
        </row>
        <row r="20">
          <cell r="AM20">
            <v>12.8791666666667</v>
          </cell>
        </row>
      </sheetData>
      <sheetData sheetId="1">
        <row r="5">
          <cell r="C5" t="str">
            <v>Mama Balla BOUSSO</v>
          </cell>
        </row>
        <row r="5">
          <cell r="AT5">
            <v>1</v>
          </cell>
          <cell r="AU5">
            <v>8.86354166666667</v>
          </cell>
        </row>
        <row r="6">
          <cell r="C6" t="str">
            <v>Khadidiatou COULIBALY</v>
          </cell>
        </row>
        <row r="6">
          <cell r="AT6">
            <v>2</v>
          </cell>
          <cell r="AU6">
            <v>8.50208333333333</v>
          </cell>
        </row>
        <row r="7">
          <cell r="C7" t="str">
            <v>Khadidiatou DIAKHATE</v>
          </cell>
        </row>
        <row r="7">
          <cell r="AT7">
            <v>3</v>
          </cell>
          <cell r="AU7">
            <v>8.25625</v>
          </cell>
        </row>
        <row r="8">
          <cell r="C8" t="str">
            <v>Awa DIAW</v>
          </cell>
        </row>
        <row r="8">
          <cell r="AT8">
            <v>4</v>
          </cell>
          <cell r="AU8">
            <v>8.02916666666667</v>
          </cell>
        </row>
        <row r="9">
          <cell r="C9" t="str">
            <v>Samba DIENG</v>
          </cell>
        </row>
        <row r="9">
          <cell r="AT9">
            <v>5</v>
          </cell>
          <cell r="AU9">
            <v>7.99791666666667</v>
          </cell>
        </row>
        <row r="10">
          <cell r="C10" t="str">
            <v>Hildegarde EDIMA BIYENDA</v>
          </cell>
        </row>
        <row r="10">
          <cell r="AT10">
            <v>6</v>
          </cell>
          <cell r="AU10">
            <v>7.91979166666667</v>
          </cell>
        </row>
        <row r="11">
          <cell r="C11" t="str">
            <v>Ameth FAYE</v>
          </cell>
        </row>
        <row r="11">
          <cell r="AT11">
            <v>7</v>
          </cell>
          <cell r="AU11">
            <v>7.91354166666667</v>
          </cell>
        </row>
        <row r="12">
          <cell r="C12" t="str">
            <v>Sarah-Laure FOGWOUNG DJOUFACK</v>
          </cell>
        </row>
        <row r="12">
          <cell r="AT12">
            <v>8</v>
          </cell>
          <cell r="AU12">
            <v>7.83854166666667</v>
          </cell>
        </row>
        <row r="13">
          <cell r="C13" t="str">
            <v>Alioune Abdou Salam KANE</v>
          </cell>
        </row>
        <row r="13">
          <cell r="AT13">
            <v>9</v>
          </cell>
          <cell r="AU13">
            <v>7.76666666666667</v>
          </cell>
        </row>
        <row r="14">
          <cell r="C14" t="str">
            <v>Tamsir NDONG</v>
          </cell>
        </row>
        <row r="14">
          <cell r="AT14">
            <v>10</v>
          </cell>
          <cell r="AU14">
            <v>7.76041666666667</v>
          </cell>
        </row>
        <row r="15">
          <cell r="C15" t="str">
            <v>Celina NGUEMFOUO NGOUMTSA</v>
          </cell>
        </row>
        <row r="15">
          <cell r="AT15">
            <v>11</v>
          </cell>
          <cell r="AU15">
            <v>7.6375</v>
          </cell>
        </row>
        <row r="16">
          <cell r="C16" t="str">
            <v>Papa Amadou NIANG</v>
          </cell>
        </row>
        <row r="16">
          <cell r="AT16">
            <v>12</v>
          </cell>
          <cell r="AU16">
            <v>7.56354166666667</v>
          </cell>
        </row>
        <row r="17">
          <cell r="C17" t="str">
            <v>Ahmadou NIASS</v>
          </cell>
        </row>
        <row r="17">
          <cell r="AT17">
            <v>13</v>
          </cell>
          <cell r="AU17">
            <v>7.540625</v>
          </cell>
        </row>
        <row r="18">
          <cell r="C18" t="str">
            <v>Jeanne De La Fleche ONANENA AMANA</v>
          </cell>
        </row>
        <row r="18">
          <cell r="AT18">
            <v>14</v>
          </cell>
          <cell r="AU18">
            <v>7.259375</v>
          </cell>
        </row>
        <row r="19">
          <cell r="C19" t="str">
            <v>Ange Emilson Rayan RAHERINASOLO</v>
          </cell>
        </row>
        <row r="19">
          <cell r="AT19">
            <v>15</v>
          </cell>
          <cell r="AU19">
            <v>6.85</v>
          </cell>
        </row>
        <row r="20">
          <cell r="C20" t="str">
            <v>Malick SENE</v>
          </cell>
        </row>
        <row r="20">
          <cell r="AT20">
            <v>16</v>
          </cell>
          <cell r="AU20">
            <v>6.43958333333333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.xml"/><Relationship Id="rId4" Type="http://schemas.openxmlformats.org/officeDocument/2006/relationships/image" Target="../media/image2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.xml"/><Relationship Id="rId4" Type="http://schemas.openxmlformats.org/officeDocument/2006/relationships/image" Target="../media/image3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1"/>
  <dimension ref="A1:AS45"/>
  <sheetViews>
    <sheetView workbookViewId="0">
      <pane xSplit="4" ySplit="3" topLeftCell="AB4" activePane="bottomRight" state="frozen"/>
      <selection/>
      <selection pane="topRight"/>
      <selection pane="bottomLeft"/>
      <selection pane="bottomRight" activeCell="AL5" sqref="AL5"/>
    </sheetView>
  </sheetViews>
  <sheetFormatPr defaultColWidth="11.5428571428571" defaultRowHeight="21"/>
  <cols>
    <col min="1" max="2" width="11.2285714285714" style="163" customWidth="1"/>
    <col min="3" max="3" width="45.7714285714286" style="163" customWidth="1"/>
    <col min="4" max="4" width="23.2285714285714" style="163" customWidth="1"/>
    <col min="5" max="5" width="11.2285714285714" style="163" customWidth="1"/>
    <col min="6" max="8" width="10.5428571428571" style="163" customWidth="1"/>
    <col min="9" max="13" width="11.3142857142857" style="163" customWidth="1"/>
    <col min="14" max="16" width="9.22857142857143" style="163" customWidth="1"/>
    <col min="17" max="19" width="13.2285714285714" style="163" customWidth="1"/>
    <col min="20" max="22" width="9" style="163" customWidth="1"/>
    <col min="23" max="28" width="13.2285714285714" style="163" customWidth="1"/>
    <col min="29" max="31" width="9" style="163" customWidth="1"/>
    <col min="32" max="34" width="9.22857142857143" style="163" customWidth="1"/>
    <col min="35" max="36" width="9.67619047619048" style="163" customWidth="1"/>
    <col min="37" max="37" width="7.08571428571429" style="163" customWidth="1"/>
    <col min="38" max="38" width="8.86666666666667" style="163" customWidth="1"/>
    <col min="39" max="42" width="11.5428571428571" style="163"/>
    <col min="43" max="43" width="17.0857142857143" style="163" customWidth="1"/>
    <col min="44" max="16384" width="11.5428571428571" style="163"/>
  </cols>
  <sheetData>
    <row r="1" ht="71.4" customHeight="1" spans="1:45">
      <c r="A1" s="164" t="s">
        <v>0</v>
      </c>
      <c r="B1" s="164"/>
      <c r="C1" s="164"/>
      <c r="D1" s="164"/>
      <c r="E1" s="164"/>
      <c r="F1" s="165" t="s">
        <v>1</v>
      </c>
      <c r="G1" s="165"/>
      <c r="H1" s="165"/>
      <c r="I1" s="165"/>
      <c r="J1" s="165"/>
      <c r="K1" s="165"/>
      <c r="L1" s="165"/>
      <c r="M1" s="165"/>
      <c r="N1" s="165"/>
      <c r="O1" s="165" t="s">
        <v>2</v>
      </c>
      <c r="P1" s="165"/>
      <c r="Q1" s="165"/>
      <c r="R1" s="165"/>
      <c r="S1" s="165"/>
      <c r="T1" s="165"/>
      <c r="U1" s="165" t="s">
        <v>3</v>
      </c>
      <c r="V1" s="165"/>
      <c r="W1" s="165"/>
      <c r="X1" s="165"/>
      <c r="Y1" s="165"/>
      <c r="Z1" s="165"/>
      <c r="AA1" s="165" t="s">
        <v>4</v>
      </c>
      <c r="AB1" s="165"/>
      <c r="AC1" s="165"/>
      <c r="AD1" s="165"/>
      <c r="AE1" s="165"/>
      <c r="AF1" s="165"/>
      <c r="AG1" s="165" t="s">
        <v>5</v>
      </c>
      <c r="AH1" s="165"/>
      <c r="AI1" s="165"/>
      <c r="AJ1" s="165"/>
      <c r="AK1" s="165"/>
      <c r="AL1" s="165"/>
      <c r="AM1" s="177"/>
      <c r="AN1" s="185" t="s">
        <v>6</v>
      </c>
      <c r="AO1" s="186"/>
      <c r="AP1" s="186"/>
      <c r="AQ1" s="186"/>
      <c r="AR1" s="186"/>
      <c r="AS1" s="187"/>
    </row>
    <row r="2" s="161" customFormat="1" ht="71.4" customHeight="1" spans="1:40">
      <c r="A2" s="166"/>
      <c r="B2" s="166"/>
      <c r="C2" s="166"/>
      <c r="D2" s="166"/>
      <c r="E2" s="166"/>
      <c r="F2" s="167" t="s">
        <v>7</v>
      </c>
      <c r="G2" s="167"/>
      <c r="H2" s="167"/>
      <c r="I2" s="167" t="s">
        <v>8</v>
      </c>
      <c r="J2" s="167"/>
      <c r="K2" s="167"/>
      <c r="L2" s="179" t="s">
        <v>9</v>
      </c>
      <c r="M2" s="179"/>
      <c r="N2" s="179"/>
      <c r="O2" s="179" t="s">
        <v>10</v>
      </c>
      <c r="P2" s="179" t="s">
        <v>10</v>
      </c>
      <c r="Q2" s="179" t="s">
        <v>10</v>
      </c>
      <c r="R2" s="179" t="s">
        <v>11</v>
      </c>
      <c r="S2" s="179" t="s">
        <v>11</v>
      </c>
      <c r="T2" s="179" t="s">
        <v>11</v>
      </c>
      <c r="U2" s="179" t="s">
        <v>12</v>
      </c>
      <c r="V2" s="179" t="s">
        <v>12</v>
      </c>
      <c r="W2" s="179" t="s">
        <v>12</v>
      </c>
      <c r="X2" s="179" t="s">
        <v>13</v>
      </c>
      <c r="Y2" s="179" t="s">
        <v>12</v>
      </c>
      <c r="Z2" s="179" t="s">
        <v>12</v>
      </c>
      <c r="AA2" s="179" t="s">
        <v>14</v>
      </c>
      <c r="AB2" s="179" t="s">
        <v>14</v>
      </c>
      <c r="AC2" s="179" t="s">
        <v>14</v>
      </c>
      <c r="AD2" s="179" t="s">
        <v>15</v>
      </c>
      <c r="AE2" s="179" t="s">
        <v>15</v>
      </c>
      <c r="AF2" s="179" t="s">
        <v>15</v>
      </c>
      <c r="AG2" s="179" t="s">
        <v>16</v>
      </c>
      <c r="AH2" s="179"/>
      <c r="AI2" s="179"/>
      <c r="AJ2" s="179" t="s">
        <v>17</v>
      </c>
      <c r="AK2" s="179"/>
      <c r="AL2" s="179"/>
      <c r="AM2" s="188"/>
      <c r="AN2" s="166"/>
    </row>
    <row r="3" s="161" customFormat="1" ht="37.5" customHeight="1" spans="1:41">
      <c r="A3" s="166"/>
      <c r="B3" s="166"/>
      <c r="C3" s="166"/>
      <c r="D3" s="166"/>
      <c r="E3" s="166"/>
      <c r="F3" s="167"/>
      <c r="G3" s="167"/>
      <c r="H3" s="167">
        <v>4</v>
      </c>
      <c r="I3" s="167"/>
      <c r="J3" s="167"/>
      <c r="K3" s="167">
        <v>4</v>
      </c>
      <c r="L3" s="179"/>
      <c r="M3" s="179"/>
      <c r="N3" s="179">
        <v>3</v>
      </c>
      <c r="O3" s="179"/>
      <c r="P3" s="179"/>
      <c r="Q3" s="179">
        <v>2.5</v>
      </c>
      <c r="R3" s="179"/>
      <c r="S3" s="179"/>
      <c r="T3" s="179">
        <v>3.5</v>
      </c>
      <c r="U3" s="179"/>
      <c r="V3" s="179"/>
      <c r="W3" s="179">
        <v>2.5</v>
      </c>
      <c r="X3" s="179"/>
      <c r="Y3" s="179"/>
      <c r="Z3" s="179">
        <v>3</v>
      </c>
      <c r="AA3" s="179"/>
      <c r="AB3" s="179"/>
      <c r="AC3" s="179">
        <v>1.5</v>
      </c>
      <c r="AD3" s="179"/>
      <c r="AE3" s="179"/>
      <c r="AF3" s="179">
        <v>2</v>
      </c>
      <c r="AG3" s="179"/>
      <c r="AH3" s="179"/>
      <c r="AI3" s="179">
        <v>2</v>
      </c>
      <c r="AJ3" s="179"/>
      <c r="AK3" s="179"/>
      <c r="AL3" s="179">
        <v>2</v>
      </c>
      <c r="AM3" s="188"/>
      <c r="AN3" s="166"/>
      <c r="AO3" s="161">
        <f>SUM(F3:AL3)</f>
        <v>30</v>
      </c>
    </row>
    <row r="4" spans="1:40">
      <c r="A4" s="168" t="s">
        <v>18</v>
      </c>
      <c r="B4" s="169" t="s">
        <v>19</v>
      </c>
      <c r="C4" s="169" t="s">
        <v>20</v>
      </c>
      <c r="D4" s="169" t="s">
        <v>21</v>
      </c>
      <c r="E4" s="169" t="s">
        <v>22</v>
      </c>
      <c r="F4" s="170" t="s">
        <v>23</v>
      </c>
      <c r="G4" s="170" t="s">
        <v>24</v>
      </c>
      <c r="H4" s="170" t="s">
        <v>25</v>
      </c>
      <c r="I4" s="170" t="s">
        <v>23</v>
      </c>
      <c r="J4" s="170" t="s">
        <v>24</v>
      </c>
      <c r="K4" s="170" t="s">
        <v>25</v>
      </c>
      <c r="L4" s="170" t="s">
        <v>23</v>
      </c>
      <c r="M4" s="170" t="s">
        <v>24</v>
      </c>
      <c r="N4" s="170" t="s">
        <v>25</v>
      </c>
      <c r="O4" s="170" t="s">
        <v>23</v>
      </c>
      <c r="P4" s="170" t="s">
        <v>24</v>
      </c>
      <c r="Q4" s="170" t="s">
        <v>25</v>
      </c>
      <c r="R4" s="170" t="s">
        <v>23</v>
      </c>
      <c r="S4" s="170" t="s">
        <v>24</v>
      </c>
      <c r="T4" s="170" t="s">
        <v>25</v>
      </c>
      <c r="U4" s="170" t="s">
        <v>23</v>
      </c>
      <c r="V4" s="170" t="s">
        <v>24</v>
      </c>
      <c r="W4" s="170" t="s">
        <v>25</v>
      </c>
      <c r="X4" s="170" t="s">
        <v>23</v>
      </c>
      <c r="Y4" s="170" t="s">
        <v>24</v>
      </c>
      <c r="Z4" s="170" t="s">
        <v>25</v>
      </c>
      <c r="AA4" s="170" t="s">
        <v>23</v>
      </c>
      <c r="AB4" s="170" t="s">
        <v>24</v>
      </c>
      <c r="AC4" s="170" t="s">
        <v>25</v>
      </c>
      <c r="AD4" s="170" t="s">
        <v>23</v>
      </c>
      <c r="AE4" s="170" t="s">
        <v>24</v>
      </c>
      <c r="AF4" s="170" t="s">
        <v>25</v>
      </c>
      <c r="AG4" s="170" t="s">
        <v>23</v>
      </c>
      <c r="AH4" s="170" t="s">
        <v>24</v>
      </c>
      <c r="AI4" s="170" t="s">
        <v>25</v>
      </c>
      <c r="AJ4" s="170" t="s">
        <v>23</v>
      </c>
      <c r="AK4" s="170" t="s">
        <v>24</v>
      </c>
      <c r="AL4" s="170" t="s">
        <v>25</v>
      </c>
      <c r="AM4" s="189" t="s">
        <v>26</v>
      </c>
      <c r="AN4" s="177" t="s">
        <v>6</v>
      </c>
    </row>
    <row r="5" spans="1:43">
      <c r="A5" s="177"/>
      <c r="B5" s="178"/>
      <c r="C5" s="172" t="s">
        <v>27</v>
      </c>
      <c r="D5" s="172" t="s">
        <v>28</v>
      </c>
      <c r="E5" s="177"/>
      <c r="F5" s="168"/>
      <c r="G5" s="168"/>
      <c r="H5" s="176"/>
      <c r="I5" s="219"/>
      <c r="J5" s="219"/>
      <c r="K5" s="176"/>
      <c r="L5" s="168"/>
      <c r="M5" s="177"/>
      <c r="N5" s="176"/>
      <c r="O5" s="168"/>
      <c r="P5" s="177"/>
      <c r="Q5" s="176"/>
      <c r="R5" s="221"/>
      <c r="S5" s="221"/>
      <c r="T5" s="176"/>
      <c r="U5" s="222"/>
      <c r="V5" s="222"/>
      <c r="W5" s="176"/>
      <c r="X5" s="168"/>
      <c r="Y5" s="177"/>
      <c r="Z5" s="176"/>
      <c r="AA5" s="178"/>
      <c r="AB5" s="168"/>
      <c r="AC5" s="176"/>
      <c r="AD5" s="223"/>
      <c r="AE5" s="177"/>
      <c r="AF5" s="176"/>
      <c r="AG5" s="224"/>
      <c r="AH5" s="177"/>
      <c r="AI5" s="176"/>
      <c r="AJ5" s="168"/>
      <c r="AK5" s="177"/>
      <c r="AL5" s="176"/>
      <c r="AM5" s="190">
        <f t="shared" ref="AM5:AM22" si="0">SUMPRODUCT(F5:AL5,$F$3:$AL$3)/SUM($F$3:$AL$3)</f>
        <v>0</v>
      </c>
      <c r="AN5" s="191">
        <f t="shared" ref="AN5:AN22" si="1">RANK(AM5,$AM$5:$AM$22)</f>
        <v>1</v>
      </c>
      <c r="AO5" s="227"/>
      <c r="AP5" s="227"/>
      <c r="AQ5" s="227"/>
    </row>
    <row r="6" spans="1:43">
      <c r="A6" s="168"/>
      <c r="B6" s="178"/>
      <c r="C6" s="172" t="s">
        <v>29</v>
      </c>
      <c r="D6" s="172" t="s">
        <v>30</v>
      </c>
      <c r="E6" s="173"/>
      <c r="F6" s="168"/>
      <c r="G6" s="168"/>
      <c r="H6" s="176"/>
      <c r="I6" s="219"/>
      <c r="J6" s="219"/>
      <c r="K6" s="176"/>
      <c r="L6" s="168"/>
      <c r="M6" s="181"/>
      <c r="N6" s="176"/>
      <c r="O6" s="172"/>
      <c r="P6" s="172"/>
      <c r="Q6" s="176"/>
      <c r="R6" s="221"/>
      <c r="S6" s="221"/>
      <c r="T6" s="176"/>
      <c r="U6" s="222"/>
      <c r="V6" s="222"/>
      <c r="W6" s="176"/>
      <c r="X6" s="168"/>
      <c r="Y6" s="183"/>
      <c r="Z6" s="176"/>
      <c r="AA6" s="178"/>
      <c r="AB6" s="168"/>
      <c r="AC6" s="176"/>
      <c r="AD6" s="223"/>
      <c r="AE6" s="172"/>
      <c r="AF6" s="176"/>
      <c r="AG6" s="224"/>
      <c r="AH6" s="183"/>
      <c r="AI6" s="176"/>
      <c r="AJ6" s="168"/>
      <c r="AK6" s="172"/>
      <c r="AL6" s="176"/>
      <c r="AM6" s="190">
        <f t="shared" si="0"/>
        <v>0</v>
      </c>
      <c r="AN6" s="191">
        <f t="shared" si="1"/>
        <v>1</v>
      </c>
      <c r="AO6" s="227"/>
      <c r="AP6" s="227"/>
      <c r="AQ6" s="227"/>
    </row>
    <row r="7" spans="1:43">
      <c r="A7" s="178"/>
      <c r="B7" s="178"/>
      <c r="C7" s="172" t="s">
        <v>31</v>
      </c>
      <c r="D7" s="172" t="s">
        <v>30</v>
      </c>
      <c r="E7" s="178"/>
      <c r="F7" s="168"/>
      <c r="G7" s="168"/>
      <c r="H7" s="176"/>
      <c r="I7" s="219"/>
      <c r="J7" s="219"/>
      <c r="K7" s="176"/>
      <c r="L7" s="168"/>
      <c r="M7" s="178"/>
      <c r="N7" s="176"/>
      <c r="O7" s="178"/>
      <c r="P7" s="178"/>
      <c r="Q7" s="176"/>
      <c r="R7" s="221"/>
      <c r="S7" s="221"/>
      <c r="T7" s="176"/>
      <c r="U7" s="222"/>
      <c r="V7" s="222"/>
      <c r="W7" s="176"/>
      <c r="X7" s="168"/>
      <c r="Y7" s="178"/>
      <c r="Z7" s="176"/>
      <c r="AA7" s="178"/>
      <c r="AB7" s="168"/>
      <c r="AC7" s="176"/>
      <c r="AD7" s="223"/>
      <c r="AE7" s="178"/>
      <c r="AF7" s="176"/>
      <c r="AG7" s="224"/>
      <c r="AH7" s="178"/>
      <c r="AI7" s="176"/>
      <c r="AJ7" s="168"/>
      <c r="AK7" s="178"/>
      <c r="AL7" s="176"/>
      <c r="AM7" s="190">
        <f t="shared" si="0"/>
        <v>0</v>
      </c>
      <c r="AN7" s="191">
        <f t="shared" si="1"/>
        <v>1</v>
      </c>
      <c r="AO7" s="227"/>
      <c r="AP7" s="227"/>
      <c r="AQ7" s="227"/>
    </row>
    <row r="8" spans="1:43">
      <c r="A8" s="168"/>
      <c r="B8" s="168"/>
      <c r="C8" s="172" t="s">
        <v>32</v>
      </c>
      <c r="D8" s="172" t="s">
        <v>28</v>
      </c>
      <c r="E8" s="173"/>
      <c r="F8" s="168"/>
      <c r="G8" s="168"/>
      <c r="H8" s="176"/>
      <c r="I8" s="219"/>
      <c r="J8" s="219"/>
      <c r="K8" s="176"/>
      <c r="L8" s="168"/>
      <c r="M8" s="181"/>
      <c r="N8" s="176"/>
      <c r="O8" s="172"/>
      <c r="P8" s="172"/>
      <c r="Q8" s="176"/>
      <c r="R8" s="221"/>
      <c r="S8" s="221"/>
      <c r="T8" s="176"/>
      <c r="U8" s="222"/>
      <c r="V8" s="222"/>
      <c r="W8" s="176"/>
      <c r="X8" s="168"/>
      <c r="Y8" s="183"/>
      <c r="Z8" s="176"/>
      <c r="AA8" s="178"/>
      <c r="AB8" s="168"/>
      <c r="AC8" s="176"/>
      <c r="AD8" s="223"/>
      <c r="AE8" s="172"/>
      <c r="AF8" s="176"/>
      <c r="AG8" s="224"/>
      <c r="AH8" s="183"/>
      <c r="AI8" s="176"/>
      <c r="AJ8" s="168"/>
      <c r="AK8" s="172"/>
      <c r="AL8" s="176"/>
      <c r="AM8" s="190">
        <f t="shared" si="0"/>
        <v>0</v>
      </c>
      <c r="AN8" s="191">
        <f t="shared" si="1"/>
        <v>1</v>
      </c>
      <c r="AO8" s="227"/>
      <c r="AP8" s="227"/>
      <c r="AQ8" s="227"/>
    </row>
    <row r="9" spans="1:43">
      <c r="A9" s="168"/>
      <c r="B9" s="168"/>
      <c r="C9" s="172" t="s">
        <v>33</v>
      </c>
      <c r="D9" s="172" t="s">
        <v>30</v>
      </c>
      <c r="E9" s="173"/>
      <c r="F9" s="168"/>
      <c r="G9" s="168"/>
      <c r="H9" s="176"/>
      <c r="I9" s="219"/>
      <c r="J9" s="219"/>
      <c r="K9" s="176"/>
      <c r="L9" s="168"/>
      <c r="M9" s="181"/>
      <c r="N9" s="176"/>
      <c r="O9" s="172"/>
      <c r="P9" s="172"/>
      <c r="Q9" s="176"/>
      <c r="R9" s="221"/>
      <c r="S9" s="221"/>
      <c r="T9" s="176"/>
      <c r="U9" s="222"/>
      <c r="V9" s="222"/>
      <c r="W9" s="176"/>
      <c r="X9" s="168"/>
      <c r="Y9" s="183"/>
      <c r="Z9" s="176"/>
      <c r="AA9" s="178"/>
      <c r="AB9" s="168"/>
      <c r="AC9" s="176"/>
      <c r="AD9" s="223"/>
      <c r="AE9" s="172"/>
      <c r="AF9" s="176"/>
      <c r="AG9" s="224"/>
      <c r="AH9" s="183"/>
      <c r="AI9" s="176"/>
      <c r="AJ9" s="168"/>
      <c r="AK9" s="172"/>
      <c r="AL9" s="176"/>
      <c r="AM9" s="190">
        <f t="shared" si="0"/>
        <v>0</v>
      </c>
      <c r="AN9" s="191">
        <f t="shared" si="1"/>
        <v>1</v>
      </c>
      <c r="AO9" s="227"/>
      <c r="AP9" s="227"/>
      <c r="AQ9" s="227"/>
    </row>
    <row r="10" spans="1:43">
      <c r="A10" s="177"/>
      <c r="B10" s="178"/>
      <c r="C10" s="172" t="s">
        <v>34</v>
      </c>
      <c r="D10" s="172" t="s">
        <v>35</v>
      </c>
      <c r="E10" s="177"/>
      <c r="F10" s="168"/>
      <c r="G10" s="168"/>
      <c r="H10" s="176"/>
      <c r="I10" s="219"/>
      <c r="J10" s="219"/>
      <c r="K10" s="176"/>
      <c r="L10" s="168"/>
      <c r="M10" s="177"/>
      <c r="N10" s="176"/>
      <c r="O10" s="168"/>
      <c r="P10" s="177"/>
      <c r="Q10" s="176"/>
      <c r="R10" s="221"/>
      <c r="S10" s="221"/>
      <c r="T10" s="176"/>
      <c r="U10" s="222"/>
      <c r="V10" s="222"/>
      <c r="W10" s="176"/>
      <c r="X10" s="168"/>
      <c r="Y10" s="177"/>
      <c r="Z10" s="176"/>
      <c r="AA10" s="178"/>
      <c r="AB10" s="168"/>
      <c r="AC10" s="176"/>
      <c r="AD10" s="223"/>
      <c r="AE10" s="177"/>
      <c r="AF10" s="176"/>
      <c r="AG10" s="224"/>
      <c r="AH10" s="177"/>
      <c r="AI10" s="176"/>
      <c r="AJ10" s="168"/>
      <c r="AK10" s="177"/>
      <c r="AL10" s="176"/>
      <c r="AM10" s="190">
        <f t="shared" si="0"/>
        <v>0</v>
      </c>
      <c r="AN10" s="191">
        <f t="shared" si="1"/>
        <v>1</v>
      </c>
      <c r="AO10" s="227"/>
      <c r="AP10" s="227"/>
      <c r="AQ10" s="227"/>
    </row>
    <row r="11" spans="1:43">
      <c r="A11" s="177"/>
      <c r="B11" s="178"/>
      <c r="C11" s="172" t="s">
        <v>36</v>
      </c>
      <c r="D11" s="172" t="s">
        <v>28</v>
      </c>
      <c r="E11" s="177"/>
      <c r="F11" s="168"/>
      <c r="G11" s="168"/>
      <c r="H11" s="176"/>
      <c r="I11" s="219"/>
      <c r="J11" s="219"/>
      <c r="K11" s="176"/>
      <c r="L11" s="168"/>
      <c r="M11" s="177"/>
      <c r="N11" s="176"/>
      <c r="O11" s="168"/>
      <c r="P11" s="177"/>
      <c r="Q11" s="176"/>
      <c r="R11" s="221"/>
      <c r="S11" s="221"/>
      <c r="T11" s="176"/>
      <c r="U11" s="222"/>
      <c r="V11" s="222"/>
      <c r="W11" s="176"/>
      <c r="X11" s="168"/>
      <c r="Y11" s="177"/>
      <c r="Z11" s="176"/>
      <c r="AA11" s="178"/>
      <c r="AB11" s="168"/>
      <c r="AC11" s="176"/>
      <c r="AD11" s="223"/>
      <c r="AE11" s="177"/>
      <c r="AF11" s="176"/>
      <c r="AG11" s="224"/>
      <c r="AH11" s="177"/>
      <c r="AI11" s="176"/>
      <c r="AJ11" s="168"/>
      <c r="AK11" s="177"/>
      <c r="AL11" s="176"/>
      <c r="AM11" s="190">
        <f t="shared" si="0"/>
        <v>0</v>
      </c>
      <c r="AN11" s="191">
        <f t="shared" si="1"/>
        <v>1</v>
      </c>
      <c r="AO11" s="227"/>
      <c r="AP11" s="227"/>
      <c r="AQ11" s="227"/>
    </row>
    <row r="12" spans="1:43">
      <c r="A12" s="177"/>
      <c r="B12" s="178"/>
      <c r="C12" s="172" t="s">
        <v>37</v>
      </c>
      <c r="D12" s="172" t="s">
        <v>30</v>
      </c>
      <c r="E12" s="177"/>
      <c r="F12" s="168"/>
      <c r="G12" s="168"/>
      <c r="H12" s="176"/>
      <c r="I12" s="219"/>
      <c r="J12" s="219"/>
      <c r="K12" s="176"/>
      <c r="L12" s="168"/>
      <c r="M12" s="177"/>
      <c r="N12" s="176"/>
      <c r="O12" s="168"/>
      <c r="P12" s="177"/>
      <c r="Q12" s="176"/>
      <c r="R12" s="221"/>
      <c r="S12" s="221"/>
      <c r="T12" s="176"/>
      <c r="U12" s="222"/>
      <c r="V12" s="222"/>
      <c r="W12" s="176"/>
      <c r="X12" s="168"/>
      <c r="Y12" s="177"/>
      <c r="Z12" s="176"/>
      <c r="AA12" s="178"/>
      <c r="AB12" s="168"/>
      <c r="AC12" s="176"/>
      <c r="AD12" s="223"/>
      <c r="AE12" s="177"/>
      <c r="AF12" s="176"/>
      <c r="AG12" s="224"/>
      <c r="AH12" s="177"/>
      <c r="AI12" s="176"/>
      <c r="AJ12" s="168"/>
      <c r="AK12" s="177"/>
      <c r="AL12" s="176"/>
      <c r="AM12" s="190">
        <f t="shared" si="0"/>
        <v>0</v>
      </c>
      <c r="AN12" s="191">
        <f t="shared" si="1"/>
        <v>1</v>
      </c>
      <c r="AO12" s="227"/>
      <c r="AP12" s="227"/>
      <c r="AQ12" s="227"/>
    </row>
    <row r="13" spans="1:43">
      <c r="A13" s="168"/>
      <c r="B13" s="168"/>
      <c r="C13" s="172" t="s">
        <v>38</v>
      </c>
      <c r="D13" s="172" t="s">
        <v>30</v>
      </c>
      <c r="E13" s="173"/>
      <c r="F13" s="168"/>
      <c r="G13" s="168"/>
      <c r="H13" s="176"/>
      <c r="I13" s="219"/>
      <c r="J13" s="219"/>
      <c r="K13" s="176"/>
      <c r="L13" s="168"/>
      <c r="M13" s="181"/>
      <c r="N13" s="176"/>
      <c r="O13" s="172"/>
      <c r="P13" s="172"/>
      <c r="Q13" s="176"/>
      <c r="R13" s="221"/>
      <c r="S13" s="221"/>
      <c r="T13" s="176"/>
      <c r="U13" s="222"/>
      <c r="V13" s="222"/>
      <c r="W13" s="176"/>
      <c r="X13" s="168"/>
      <c r="Y13" s="183"/>
      <c r="Z13" s="176"/>
      <c r="AA13" s="178"/>
      <c r="AB13" s="168"/>
      <c r="AC13" s="176"/>
      <c r="AD13" s="223"/>
      <c r="AE13" s="172"/>
      <c r="AF13" s="176"/>
      <c r="AG13" s="224"/>
      <c r="AH13" s="183"/>
      <c r="AI13" s="176"/>
      <c r="AJ13" s="168"/>
      <c r="AK13" s="172"/>
      <c r="AL13" s="176"/>
      <c r="AM13" s="190">
        <f t="shared" si="0"/>
        <v>0</v>
      </c>
      <c r="AN13" s="191">
        <f t="shared" si="1"/>
        <v>1</v>
      </c>
      <c r="AO13" s="227"/>
      <c r="AP13" s="227"/>
      <c r="AQ13" s="227"/>
    </row>
    <row r="14" spans="1:43">
      <c r="A14" s="168"/>
      <c r="B14" s="168"/>
      <c r="C14" s="172" t="s">
        <v>39</v>
      </c>
      <c r="D14" s="172" t="s">
        <v>28</v>
      </c>
      <c r="E14" s="214"/>
      <c r="F14" s="168"/>
      <c r="G14" s="168"/>
      <c r="H14" s="215"/>
      <c r="I14" s="219"/>
      <c r="J14" s="219"/>
      <c r="K14" s="215"/>
      <c r="L14" s="168"/>
      <c r="M14" s="181"/>
      <c r="N14" s="215"/>
      <c r="O14" s="172"/>
      <c r="P14" s="172"/>
      <c r="Q14" s="215"/>
      <c r="R14" s="221"/>
      <c r="S14" s="221"/>
      <c r="T14" s="215"/>
      <c r="U14" s="222"/>
      <c r="V14" s="222"/>
      <c r="W14" s="215"/>
      <c r="X14" s="168"/>
      <c r="Y14" s="183"/>
      <c r="Z14" s="215"/>
      <c r="AA14" s="178"/>
      <c r="AB14" s="168"/>
      <c r="AC14" s="215"/>
      <c r="AD14" s="223"/>
      <c r="AE14" s="172"/>
      <c r="AF14" s="215"/>
      <c r="AG14" s="224"/>
      <c r="AH14" s="183"/>
      <c r="AI14" s="215"/>
      <c r="AJ14" s="168"/>
      <c r="AK14" s="172"/>
      <c r="AL14" s="215"/>
      <c r="AM14" s="225">
        <f t="shared" si="0"/>
        <v>0</v>
      </c>
      <c r="AN14" s="191">
        <f t="shared" si="1"/>
        <v>1</v>
      </c>
      <c r="AO14" s="227"/>
      <c r="AP14" s="227"/>
      <c r="AQ14" s="227"/>
    </row>
    <row r="15" s="162" customFormat="1" ht="19.5" customHeight="1" spans="1:43">
      <c r="A15" s="163"/>
      <c r="B15" s="178"/>
      <c r="C15" s="172" t="s">
        <v>40</v>
      </c>
      <c r="D15" s="172" t="s">
        <v>28</v>
      </c>
      <c r="E15" s="177"/>
      <c r="F15" s="168"/>
      <c r="G15" s="168"/>
      <c r="H15" s="215"/>
      <c r="I15" s="219"/>
      <c r="J15" s="219"/>
      <c r="K15" s="215"/>
      <c r="L15" s="168"/>
      <c r="M15" s="177"/>
      <c r="N15" s="215"/>
      <c r="O15" s="168"/>
      <c r="P15" s="177"/>
      <c r="Q15" s="215"/>
      <c r="R15" s="221"/>
      <c r="S15" s="221"/>
      <c r="T15" s="215"/>
      <c r="U15" s="222"/>
      <c r="V15" s="222"/>
      <c r="W15" s="215"/>
      <c r="X15" s="168"/>
      <c r="Y15" s="177"/>
      <c r="Z15" s="215"/>
      <c r="AA15" s="178"/>
      <c r="AB15" s="168"/>
      <c r="AC15" s="215"/>
      <c r="AD15" s="223"/>
      <c r="AE15" s="177"/>
      <c r="AF15" s="215"/>
      <c r="AG15" s="224"/>
      <c r="AH15" s="177"/>
      <c r="AI15" s="215"/>
      <c r="AJ15" s="168"/>
      <c r="AK15" s="177"/>
      <c r="AL15" s="215"/>
      <c r="AM15" s="225">
        <f t="shared" si="0"/>
        <v>0</v>
      </c>
      <c r="AN15" s="191">
        <f t="shared" si="1"/>
        <v>1</v>
      </c>
      <c r="AO15" s="228"/>
      <c r="AP15" s="228"/>
      <c r="AQ15" s="228"/>
    </row>
    <row r="16" spans="1:40">
      <c r="A16" s="216"/>
      <c r="B16" s="168"/>
      <c r="C16" s="172" t="s">
        <v>41</v>
      </c>
      <c r="D16" s="172" t="s">
        <v>28</v>
      </c>
      <c r="E16" s="173"/>
      <c r="F16" s="168"/>
      <c r="G16" s="168"/>
      <c r="H16" s="215"/>
      <c r="I16" s="219"/>
      <c r="J16" s="219"/>
      <c r="K16" s="215"/>
      <c r="L16" s="168"/>
      <c r="M16" s="181"/>
      <c r="N16" s="215"/>
      <c r="O16" s="172"/>
      <c r="P16" s="172"/>
      <c r="Q16" s="215"/>
      <c r="R16" s="221"/>
      <c r="S16" s="221"/>
      <c r="T16" s="215"/>
      <c r="U16" s="222"/>
      <c r="V16" s="222"/>
      <c r="W16" s="215"/>
      <c r="X16" s="168"/>
      <c r="Y16" s="183"/>
      <c r="Z16" s="215"/>
      <c r="AA16" s="178"/>
      <c r="AB16" s="168"/>
      <c r="AC16" s="215"/>
      <c r="AD16" s="223"/>
      <c r="AE16" s="172"/>
      <c r="AF16" s="215"/>
      <c r="AG16" s="224"/>
      <c r="AH16" s="183"/>
      <c r="AI16" s="215"/>
      <c r="AJ16" s="168"/>
      <c r="AK16" s="172"/>
      <c r="AL16" s="215"/>
      <c r="AM16" s="225">
        <f t="shared" si="0"/>
        <v>0</v>
      </c>
      <c r="AN16" s="191">
        <f t="shared" si="1"/>
        <v>1</v>
      </c>
    </row>
    <row r="17" spans="1:40">
      <c r="A17" s="216"/>
      <c r="B17" s="168"/>
      <c r="C17" s="172" t="s">
        <v>42</v>
      </c>
      <c r="D17" s="172" t="s">
        <v>28</v>
      </c>
      <c r="E17" s="173"/>
      <c r="F17" s="168"/>
      <c r="G17" s="168"/>
      <c r="H17" s="215"/>
      <c r="I17" s="219"/>
      <c r="J17" s="219"/>
      <c r="K17" s="215"/>
      <c r="L17" s="168"/>
      <c r="M17" s="181"/>
      <c r="N17" s="215"/>
      <c r="O17" s="172"/>
      <c r="P17" s="172"/>
      <c r="Q17" s="215"/>
      <c r="R17" s="221"/>
      <c r="S17" s="221"/>
      <c r="T17" s="215"/>
      <c r="U17" s="222"/>
      <c r="V17" s="222"/>
      <c r="W17" s="215"/>
      <c r="X17" s="168"/>
      <c r="Y17" s="183"/>
      <c r="Z17" s="215"/>
      <c r="AA17" s="178"/>
      <c r="AB17" s="168"/>
      <c r="AC17" s="215"/>
      <c r="AD17" s="223"/>
      <c r="AE17" s="172"/>
      <c r="AF17" s="215"/>
      <c r="AG17" s="224"/>
      <c r="AH17" s="183"/>
      <c r="AI17" s="215"/>
      <c r="AJ17" s="168"/>
      <c r="AK17" s="172"/>
      <c r="AL17" s="215"/>
      <c r="AM17" s="225">
        <f t="shared" si="0"/>
        <v>0</v>
      </c>
      <c r="AN17" s="191">
        <f t="shared" si="1"/>
        <v>1</v>
      </c>
    </row>
    <row r="18" spans="1:40">
      <c r="A18" s="216"/>
      <c r="B18" s="168"/>
      <c r="C18" s="172" t="s">
        <v>43</v>
      </c>
      <c r="D18" s="172" t="s">
        <v>28</v>
      </c>
      <c r="E18" s="173"/>
      <c r="F18" s="168"/>
      <c r="G18" s="168"/>
      <c r="H18" s="215"/>
      <c r="I18" s="219"/>
      <c r="J18" s="219"/>
      <c r="K18" s="215"/>
      <c r="L18" s="168"/>
      <c r="M18" s="181"/>
      <c r="N18" s="215"/>
      <c r="O18" s="172"/>
      <c r="P18" s="172"/>
      <c r="Q18" s="215"/>
      <c r="R18" s="221"/>
      <c r="S18" s="221"/>
      <c r="T18" s="215"/>
      <c r="U18" s="222"/>
      <c r="V18" s="222"/>
      <c r="W18" s="215"/>
      <c r="X18" s="168"/>
      <c r="Y18" s="183"/>
      <c r="Z18" s="215"/>
      <c r="AA18" s="178"/>
      <c r="AB18" s="168"/>
      <c r="AC18" s="215"/>
      <c r="AD18" s="223"/>
      <c r="AE18" s="172"/>
      <c r="AF18" s="215"/>
      <c r="AG18" s="224"/>
      <c r="AH18" s="183"/>
      <c r="AI18" s="215"/>
      <c r="AJ18" s="168"/>
      <c r="AK18" s="172"/>
      <c r="AL18" s="215"/>
      <c r="AM18" s="225">
        <f t="shared" si="0"/>
        <v>0</v>
      </c>
      <c r="AN18" s="191">
        <f t="shared" si="1"/>
        <v>1</v>
      </c>
    </row>
    <row r="19" spans="1:40">
      <c r="A19" s="216"/>
      <c r="B19" s="168"/>
      <c r="C19" s="172" t="s">
        <v>44</v>
      </c>
      <c r="D19" s="172" t="s">
        <v>28</v>
      </c>
      <c r="E19" s="173"/>
      <c r="F19" s="168"/>
      <c r="G19" s="168"/>
      <c r="H19" s="215"/>
      <c r="I19" s="219"/>
      <c r="J19" s="219"/>
      <c r="K19" s="215"/>
      <c r="L19" s="168"/>
      <c r="M19" s="181"/>
      <c r="N19" s="215"/>
      <c r="O19" s="172"/>
      <c r="P19" s="172"/>
      <c r="Q19" s="215"/>
      <c r="R19" s="221"/>
      <c r="S19" s="221"/>
      <c r="T19" s="215"/>
      <c r="U19" s="222"/>
      <c r="V19" s="222"/>
      <c r="W19" s="215"/>
      <c r="X19" s="168"/>
      <c r="Y19" s="183"/>
      <c r="Z19" s="215"/>
      <c r="AA19" s="178"/>
      <c r="AB19" s="168"/>
      <c r="AC19" s="215"/>
      <c r="AD19" s="223"/>
      <c r="AE19" s="172"/>
      <c r="AF19" s="215"/>
      <c r="AG19" s="224"/>
      <c r="AH19" s="183"/>
      <c r="AI19" s="215"/>
      <c r="AJ19" s="168"/>
      <c r="AK19" s="172"/>
      <c r="AL19" s="215"/>
      <c r="AM19" s="225">
        <f t="shared" si="0"/>
        <v>0</v>
      </c>
      <c r="AN19" s="191">
        <f t="shared" si="1"/>
        <v>1</v>
      </c>
    </row>
    <row r="20" spans="1:40">
      <c r="A20" s="216"/>
      <c r="B20" s="168"/>
      <c r="C20" s="172" t="s">
        <v>45</v>
      </c>
      <c r="D20" s="172" t="s">
        <v>46</v>
      </c>
      <c r="E20" s="173"/>
      <c r="F20" s="168"/>
      <c r="G20" s="168"/>
      <c r="H20" s="215"/>
      <c r="I20" s="219"/>
      <c r="J20" s="219"/>
      <c r="K20" s="215"/>
      <c r="L20" s="168"/>
      <c r="M20" s="181"/>
      <c r="N20" s="215"/>
      <c r="O20" s="172"/>
      <c r="P20" s="172"/>
      <c r="Q20" s="215"/>
      <c r="R20" s="221"/>
      <c r="S20" s="221"/>
      <c r="T20" s="215"/>
      <c r="U20" s="222"/>
      <c r="V20" s="222"/>
      <c r="W20" s="215"/>
      <c r="X20" s="168"/>
      <c r="Y20" s="183"/>
      <c r="Z20" s="215"/>
      <c r="AA20" s="178"/>
      <c r="AB20" s="168"/>
      <c r="AC20" s="215"/>
      <c r="AD20" s="223"/>
      <c r="AE20" s="172"/>
      <c r="AF20" s="215"/>
      <c r="AG20" s="224"/>
      <c r="AH20" s="183"/>
      <c r="AI20" s="215"/>
      <c r="AJ20" s="168"/>
      <c r="AK20" s="172"/>
      <c r="AL20" s="215"/>
      <c r="AM20" s="226">
        <f t="shared" si="0"/>
        <v>0</v>
      </c>
      <c r="AN20" s="191">
        <f t="shared" si="1"/>
        <v>1</v>
      </c>
    </row>
    <row r="21" spans="2:40">
      <c r="B21" s="178"/>
      <c r="C21" s="172" t="s">
        <v>47</v>
      </c>
      <c r="D21" s="172" t="s">
        <v>46</v>
      </c>
      <c r="E21" s="177"/>
      <c r="F21" s="168"/>
      <c r="G21" s="168"/>
      <c r="H21" s="215"/>
      <c r="I21" s="219"/>
      <c r="J21" s="219"/>
      <c r="K21" s="215"/>
      <c r="L21" s="168"/>
      <c r="M21" s="177"/>
      <c r="N21" s="215"/>
      <c r="O21" s="168"/>
      <c r="P21" s="177"/>
      <c r="Q21" s="215"/>
      <c r="R21" s="221"/>
      <c r="S21" s="221"/>
      <c r="T21" s="215"/>
      <c r="U21" s="222"/>
      <c r="V21" s="222"/>
      <c r="W21" s="215"/>
      <c r="X21" s="168"/>
      <c r="Y21" s="177"/>
      <c r="Z21" s="215"/>
      <c r="AA21" s="178"/>
      <c r="AB21" s="168"/>
      <c r="AC21" s="215"/>
      <c r="AD21" s="223"/>
      <c r="AE21" s="177"/>
      <c r="AF21" s="215"/>
      <c r="AG21" s="224"/>
      <c r="AH21" s="177"/>
      <c r="AI21" s="215"/>
      <c r="AJ21" s="168"/>
      <c r="AK21" s="177"/>
      <c r="AL21" s="215"/>
      <c r="AM21" s="226">
        <f t="shared" si="0"/>
        <v>0</v>
      </c>
      <c r="AN21" s="191">
        <f t="shared" si="1"/>
        <v>1</v>
      </c>
    </row>
    <row r="22" spans="2:40">
      <c r="B22" s="178"/>
      <c r="C22" s="172" t="s">
        <v>48</v>
      </c>
      <c r="D22" s="172" t="s">
        <v>49</v>
      </c>
      <c r="E22" s="177"/>
      <c r="F22" s="168"/>
      <c r="G22" s="168"/>
      <c r="H22" s="215"/>
      <c r="I22" s="219"/>
      <c r="J22" s="219"/>
      <c r="K22" s="215"/>
      <c r="L22" s="168"/>
      <c r="M22" s="177"/>
      <c r="N22" s="215"/>
      <c r="O22" s="168"/>
      <c r="P22" s="177"/>
      <c r="Q22" s="215"/>
      <c r="R22" s="221"/>
      <c r="S22" s="221"/>
      <c r="T22" s="215"/>
      <c r="U22" s="222"/>
      <c r="V22" s="222"/>
      <c r="W22" s="215"/>
      <c r="X22" s="168"/>
      <c r="Y22" s="177"/>
      <c r="Z22" s="215"/>
      <c r="AA22" s="178"/>
      <c r="AB22" s="168"/>
      <c r="AC22" s="215"/>
      <c r="AD22" s="223"/>
      <c r="AE22" s="177"/>
      <c r="AF22" s="215"/>
      <c r="AG22" s="224"/>
      <c r="AH22" s="177"/>
      <c r="AI22" s="215"/>
      <c r="AJ22" s="168"/>
      <c r="AK22" s="177"/>
      <c r="AL22" s="215"/>
      <c r="AM22" s="226">
        <f t="shared" si="0"/>
        <v>0</v>
      </c>
      <c r="AN22" s="191">
        <f t="shared" si="1"/>
        <v>1</v>
      </c>
    </row>
    <row r="23" spans="4:39">
      <c r="D23" s="163" t="s">
        <v>25</v>
      </c>
      <c r="F23" s="217" t="e">
        <f>AVERAGE(F5:F22)</f>
        <v>#DIV/0!</v>
      </c>
      <c r="G23" s="217" t="e">
        <f t="shared" ref="G23:AM23" si="2">AVERAGE(G5:G22)</f>
        <v>#DIV/0!</v>
      </c>
      <c r="H23" s="217" t="e">
        <f t="shared" si="2"/>
        <v>#DIV/0!</v>
      </c>
      <c r="I23" s="217" t="e">
        <f t="shared" si="2"/>
        <v>#DIV/0!</v>
      </c>
      <c r="J23" s="217" t="e">
        <f t="shared" si="2"/>
        <v>#DIV/0!</v>
      </c>
      <c r="K23" s="217" t="e">
        <f t="shared" si="2"/>
        <v>#DIV/0!</v>
      </c>
      <c r="L23" s="217" t="e">
        <f t="shared" si="2"/>
        <v>#DIV/0!</v>
      </c>
      <c r="M23" s="217" t="e">
        <f t="shared" si="2"/>
        <v>#DIV/0!</v>
      </c>
      <c r="N23" s="217" t="e">
        <f t="shared" si="2"/>
        <v>#DIV/0!</v>
      </c>
      <c r="O23" s="217" t="e">
        <f t="shared" si="2"/>
        <v>#DIV/0!</v>
      </c>
      <c r="P23" s="217"/>
      <c r="Q23" s="217" t="e">
        <f t="shared" si="2"/>
        <v>#DIV/0!</v>
      </c>
      <c r="R23" s="217" t="e">
        <f t="shared" si="2"/>
        <v>#DIV/0!</v>
      </c>
      <c r="S23" s="217" t="e">
        <f t="shared" si="2"/>
        <v>#DIV/0!</v>
      </c>
      <c r="T23" s="217" t="e">
        <f t="shared" si="2"/>
        <v>#DIV/0!</v>
      </c>
      <c r="U23" s="217" t="e">
        <f t="shared" si="2"/>
        <v>#DIV/0!</v>
      </c>
      <c r="V23" s="217"/>
      <c r="W23" s="217" t="e">
        <f t="shared" si="2"/>
        <v>#DIV/0!</v>
      </c>
      <c r="X23" s="217" t="e">
        <f t="shared" si="2"/>
        <v>#DIV/0!</v>
      </c>
      <c r="Y23" s="217"/>
      <c r="Z23" s="217" t="e">
        <f t="shared" si="2"/>
        <v>#DIV/0!</v>
      </c>
      <c r="AA23" s="217" t="e">
        <f t="shared" si="2"/>
        <v>#DIV/0!</v>
      </c>
      <c r="AB23" s="217"/>
      <c r="AC23" s="217" t="e">
        <f t="shared" si="2"/>
        <v>#DIV/0!</v>
      </c>
      <c r="AD23" s="217" t="e">
        <f t="shared" si="2"/>
        <v>#DIV/0!</v>
      </c>
      <c r="AE23" s="217"/>
      <c r="AF23" s="217" t="e">
        <f t="shared" si="2"/>
        <v>#DIV/0!</v>
      </c>
      <c r="AG23" s="217" t="e">
        <f t="shared" si="2"/>
        <v>#DIV/0!</v>
      </c>
      <c r="AH23" s="217"/>
      <c r="AI23" s="217" t="e">
        <f t="shared" si="2"/>
        <v>#DIV/0!</v>
      </c>
      <c r="AJ23" s="217" t="e">
        <f t="shared" si="2"/>
        <v>#DIV/0!</v>
      </c>
      <c r="AK23" s="217"/>
      <c r="AL23" s="217" t="e">
        <f t="shared" si="2"/>
        <v>#DIV/0!</v>
      </c>
      <c r="AM23" s="217">
        <f t="shared" si="2"/>
        <v>0</v>
      </c>
    </row>
    <row r="24" spans="8:14">
      <c r="H24" s="218"/>
      <c r="K24" s="218"/>
      <c r="N24" s="218"/>
    </row>
    <row r="27" spans="38:38">
      <c r="AL27" s="217"/>
    </row>
    <row r="28" spans="11:11">
      <c r="K28" s="220"/>
    </row>
    <row r="29" spans="11:11">
      <c r="K29" s="220"/>
    </row>
    <row r="30" spans="11:11">
      <c r="K30" s="220"/>
    </row>
    <row r="31" spans="11:11">
      <c r="K31" s="220"/>
    </row>
    <row r="32" spans="11:11">
      <c r="K32" s="220"/>
    </row>
    <row r="33" spans="11:11">
      <c r="K33" s="220"/>
    </row>
    <row r="34" spans="11:11">
      <c r="K34" s="220"/>
    </row>
    <row r="35" spans="11:11">
      <c r="K35" s="220"/>
    </row>
    <row r="36" spans="11:11">
      <c r="K36" s="220"/>
    </row>
    <row r="37" spans="11:11">
      <c r="K37" s="220"/>
    </row>
    <row r="38" spans="11:11">
      <c r="K38" s="220"/>
    </row>
    <row r="39" spans="11:11">
      <c r="K39" s="220"/>
    </row>
    <row r="40" spans="11:11">
      <c r="K40" s="220"/>
    </row>
    <row r="41" spans="11:11">
      <c r="K41" s="220"/>
    </row>
    <row r="42" spans="11:11">
      <c r="K42" s="220"/>
    </row>
    <row r="43" spans="11:11">
      <c r="K43" s="220"/>
    </row>
    <row r="44" spans="11:11">
      <c r="K44" s="220"/>
    </row>
    <row r="45" spans="11:11">
      <c r="K45" s="220"/>
    </row>
  </sheetData>
  <sortState ref="A5:AN22">
    <sortCondition ref="AM5:AM22" descending="1"/>
  </sortState>
  <mergeCells count="17">
    <mergeCell ref="A1:E1"/>
    <mergeCell ref="F1:N1"/>
    <mergeCell ref="O1:T1"/>
    <mergeCell ref="U1:Z1"/>
    <mergeCell ref="AA1:AF1"/>
    <mergeCell ref="AG1:AL1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  <mergeCell ref="AJ2:AL2"/>
  </mergeCells>
  <conditionalFormatting sqref="I4">
    <cfRule type="expression" dxfId="0" priority="65">
      <formula>N$4=_xleta.Moyenne</formula>
    </cfRule>
  </conditionalFormatting>
  <conditionalFormatting sqref="J4">
    <cfRule type="expression" dxfId="0" priority="66">
      <formula>W$4=_xleta.Moyenne</formula>
    </cfRule>
  </conditionalFormatting>
  <conditionalFormatting sqref="K4">
    <cfRule type="expression" dxfId="0" priority="128">
      <formula>W$4=_xleta.Moyenne</formula>
    </cfRule>
  </conditionalFormatting>
  <conditionalFormatting sqref="M4">
    <cfRule type="expression" dxfId="0" priority="63">
      <formula>AF$4=_xleta.Moyenne</formula>
    </cfRule>
  </conditionalFormatting>
  <conditionalFormatting sqref="O4">
    <cfRule type="expression" dxfId="0" priority="58">
      <formula>Z$4=_xleta.Moyenne</formula>
    </cfRule>
  </conditionalFormatting>
  <conditionalFormatting sqref="P4">
    <cfRule type="expression" dxfId="0" priority="59">
      <formula>AI$4=_xleta.Moyenne</formula>
    </cfRule>
  </conditionalFormatting>
  <conditionalFormatting sqref="Q4">
    <cfRule type="expression" dxfId="0" priority="60">
      <formula>AI$4=_xleta.Moyenne</formula>
    </cfRule>
  </conditionalFormatting>
  <conditionalFormatting sqref="R4">
    <cfRule type="expression" dxfId="0" priority="55">
      <formula>AC$4=_xleta.Moyenne</formula>
    </cfRule>
  </conditionalFormatting>
  <conditionalFormatting sqref="S4">
    <cfRule type="expression" dxfId="0" priority="56">
      <formula>AL$4=_xleta.Moyenne</formula>
    </cfRule>
  </conditionalFormatting>
  <conditionalFormatting sqref="T4">
    <cfRule type="expression" dxfId="0" priority="57">
      <formula>AL$4=_xleta.Moyenne</formula>
    </cfRule>
  </conditionalFormatting>
  <conditionalFormatting sqref="AM4">
    <cfRule type="expression" dxfId="0" priority="151">
      <formula>#REF!=_xleta.Moyenne</formula>
    </cfRule>
  </conditionalFormatting>
  <conditionalFormatting sqref="F4:F14">
    <cfRule type="expression" dxfId="0" priority="100">
      <formula>I$4=_xleta.Moyenne</formula>
    </cfRule>
  </conditionalFormatting>
  <conditionalFormatting sqref="F15:F22">
    <cfRule type="expression" dxfId="0" priority="13">
      <formula>I$4=_xleta.Moyenne</formula>
    </cfRule>
  </conditionalFormatting>
  <conditionalFormatting sqref="G4:G14">
    <cfRule type="expression" dxfId="0" priority="110">
      <formula>N$4=_xleta.Moyenne</formula>
    </cfRule>
  </conditionalFormatting>
  <conditionalFormatting sqref="H4:H14">
    <cfRule type="expression" dxfId="0" priority="111">
      <formula>N$4=_xleta.Moyenne</formula>
    </cfRule>
  </conditionalFormatting>
  <conditionalFormatting sqref="H15:H22">
    <cfRule type="expression" dxfId="0" priority="12">
      <formula>N$4=_xleta.Moyenne</formula>
    </cfRule>
  </conditionalFormatting>
  <conditionalFormatting sqref="J5:J14">
    <cfRule type="expression" dxfId="0" priority="119">
      <formula>T$4=_xleta.Moyenne</formula>
    </cfRule>
  </conditionalFormatting>
  <conditionalFormatting sqref="K5:K14">
    <cfRule type="expression" dxfId="0" priority="24">
      <formula>Q$4=_xleta.Moyenne</formula>
    </cfRule>
  </conditionalFormatting>
  <conditionalFormatting sqref="K15:K22">
    <cfRule type="expression" dxfId="0" priority="11">
      <formula>Q$4=_xleta.Moyenne</formula>
    </cfRule>
  </conditionalFormatting>
  <conditionalFormatting sqref="N5:N14">
    <cfRule type="expression" dxfId="0" priority="23">
      <formula>T$4=_xleta.Moyenne</formula>
    </cfRule>
  </conditionalFormatting>
  <conditionalFormatting sqref="N15:N22">
    <cfRule type="expression" dxfId="0" priority="10">
      <formula>T$4=_xleta.Moyenne</formula>
    </cfRule>
  </conditionalFormatting>
  <conditionalFormatting sqref="P5:P14">
    <cfRule type="expression" dxfId="0" priority="122">
      <formula>W$4=_xleta.Moyenne</formula>
    </cfRule>
  </conditionalFormatting>
  <conditionalFormatting sqref="Q5:Q14">
    <cfRule type="expression" dxfId="0" priority="22">
      <formula>W$4=_xleta.Moyenne</formula>
    </cfRule>
  </conditionalFormatting>
  <conditionalFormatting sqref="Q15:Q22">
    <cfRule type="expression" dxfId="0" priority="9">
      <formula>W$4=_xleta.Moyenne</formula>
    </cfRule>
  </conditionalFormatting>
  <conditionalFormatting sqref="T5:T14">
    <cfRule type="expression" dxfId="0" priority="21">
      <formula>Z$4=_xleta.Moyenne</formula>
    </cfRule>
  </conditionalFormatting>
  <conditionalFormatting sqref="T15:T22">
    <cfRule type="expression" dxfId="0" priority="8">
      <formula>Z$4=_xleta.Moyenne</formula>
    </cfRule>
  </conditionalFormatting>
  <conditionalFormatting sqref="U5:U14">
    <cfRule type="expression" dxfId="0" priority="131">
      <formula>Z$4=_xleta.Moyenne</formula>
    </cfRule>
  </conditionalFormatting>
  <conditionalFormatting sqref="W5:W14">
    <cfRule type="expression" dxfId="0" priority="20">
      <formula>AC$4=_xleta.Moyenne</formula>
    </cfRule>
  </conditionalFormatting>
  <conditionalFormatting sqref="W15:W22">
    <cfRule type="expression" dxfId="0" priority="7">
      <formula>AC$4=_xleta.Moyenne</formula>
    </cfRule>
  </conditionalFormatting>
  <conditionalFormatting sqref="Z5:Z14">
    <cfRule type="expression" dxfId="0" priority="19">
      <formula>AF$4=_xleta.Moyenne</formula>
    </cfRule>
  </conditionalFormatting>
  <conditionalFormatting sqref="Z15:Z22">
    <cfRule type="expression" dxfId="0" priority="6">
      <formula>AF$4=_xleta.Moyenne</formula>
    </cfRule>
  </conditionalFormatting>
  <conditionalFormatting sqref="AC5:AC14">
    <cfRule type="expression" dxfId="0" priority="18">
      <formula>AI$4=_xleta.Moyenne</formula>
    </cfRule>
  </conditionalFormatting>
  <conditionalFormatting sqref="AC15:AC22">
    <cfRule type="expression" dxfId="0" priority="5">
      <formula>AI$4=_xleta.Moyenne</formula>
    </cfRule>
  </conditionalFormatting>
  <conditionalFormatting sqref="AF5:AF14">
    <cfRule type="expression" dxfId="0" priority="17">
      <formula>AL$4=_xleta.Moyenne</formula>
    </cfRule>
  </conditionalFormatting>
  <conditionalFormatting sqref="AF15:AF22">
    <cfRule type="expression" dxfId="0" priority="4">
      <formula>AL$4=_xleta.Moyenne</formula>
    </cfRule>
  </conditionalFormatting>
  <conditionalFormatting sqref="AG5:AG14">
    <cfRule type="expression" dxfId="0" priority="158">
      <formula>#REF!=_xleta.Moyenne</formula>
    </cfRule>
  </conditionalFormatting>
  <conditionalFormatting sqref="AH5:AH14">
    <cfRule type="expression" dxfId="0" priority="157">
      <formula>#REF!=_xleta.Moyenne</formula>
    </cfRule>
  </conditionalFormatting>
  <conditionalFormatting sqref="AI5:AI14">
    <cfRule type="expression" dxfId="0" priority="16">
      <formula>AO$4=_xleta.Moyenne</formula>
    </cfRule>
  </conditionalFormatting>
  <conditionalFormatting sqref="AI15:AI22">
    <cfRule type="expression" dxfId="0" priority="3">
      <formula>AO$4=_xleta.Moyenne</formula>
    </cfRule>
  </conditionalFormatting>
  <conditionalFormatting sqref="AJ5:AJ14">
    <cfRule type="expression" dxfId="0" priority="156">
      <formula>#REF!=_xleta.Moyenne</formula>
    </cfRule>
  </conditionalFormatting>
  <conditionalFormatting sqref="AK5:AK14">
    <cfRule type="expression" dxfId="0" priority="154">
      <formula>#REF!=_xleta.Moyenne</formula>
    </cfRule>
  </conditionalFormatting>
  <conditionalFormatting sqref="AL5:AL14">
    <cfRule type="expression" dxfId="0" priority="15">
      <formula>AR$4=_xleta.Moyenne</formula>
    </cfRule>
  </conditionalFormatting>
  <conditionalFormatting sqref="AL15:AL22">
    <cfRule type="expression" dxfId="0" priority="2">
      <formula>AR$4=_xleta.Moyenne</formula>
    </cfRule>
  </conditionalFormatting>
  <conditionalFormatting sqref="AM5:AM14">
    <cfRule type="expression" dxfId="0" priority="45">
      <formula>AV$4=_xleta.Moyenne</formula>
    </cfRule>
  </conditionalFormatting>
  <conditionalFormatting sqref="AM15:AM22">
    <cfRule type="expression" dxfId="0" priority="1">
      <formula>AS$4=_xleta.Moyenne</formula>
    </cfRule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4"/>
  <dimension ref="A1:D39"/>
  <sheetViews>
    <sheetView topLeftCell="A28" workbookViewId="0">
      <selection activeCell="B35" sqref="B35:B36"/>
    </sheetView>
  </sheetViews>
  <sheetFormatPr defaultColWidth="11" defaultRowHeight="15" outlineLevelCol="3"/>
  <cols>
    <col min="2" max="2" width="77.5428571428571" customWidth="1"/>
  </cols>
  <sheetData>
    <row r="1" ht="26.25" spans="1:4">
      <c r="A1" s="195" t="s">
        <v>50</v>
      </c>
      <c r="B1" s="196"/>
      <c r="C1" s="197">
        <f>C3+C22</f>
        <v>720</v>
      </c>
      <c r="D1" s="197">
        <f>D3+D22</f>
        <v>60</v>
      </c>
    </row>
    <row r="2" ht="26.25" spans="1:4">
      <c r="A2" s="198"/>
      <c r="B2" s="199"/>
      <c r="C2" s="200"/>
      <c r="D2" s="200"/>
    </row>
    <row r="3" ht="26.25" spans="1:4">
      <c r="A3" s="201" t="s">
        <v>51</v>
      </c>
      <c r="B3" s="202"/>
      <c r="C3" s="203">
        <f>SUM(C5:C20)/2</f>
        <v>360</v>
      </c>
      <c r="D3" s="203">
        <f>SUM(D5:D20)/2</f>
        <v>30</v>
      </c>
    </row>
    <row r="4" ht="26.25" spans="1:4">
      <c r="A4" s="204"/>
      <c r="B4" s="202"/>
      <c r="C4" s="202"/>
      <c r="D4" s="202"/>
    </row>
    <row r="5" ht="26.25" spans="1:4">
      <c r="A5" s="205" t="s">
        <v>52</v>
      </c>
      <c r="B5" s="206"/>
      <c r="C5" s="207">
        <f>SUM(C6:C8)</f>
        <v>130</v>
      </c>
      <c r="D5" s="207">
        <f>SUM(D6:D8)</f>
        <v>11</v>
      </c>
    </row>
    <row r="6" ht="26.25" spans="1:4">
      <c r="A6" s="208"/>
      <c r="B6" s="209" t="s">
        <v>7</v>
      </c>
      <c r="C6" s="210">
        <v>50</v>
      </c>
      <c r="D6" s="210">
        <v>4</v>
      </c>
    </row>
    <row r="7" ht="26.25" spans="1:4">
      <c r="A7" s="208"/>
      <c r="B7" s="209" t="s">
        <v>53</v>
      </c>
      <c r="C7" s="210">
        <v>50</v>
      </c>
      <c r="D7" s="210">
        <v>4</v>
      </c>
    </row>
    <row r="8" ht="26.25" spans="1:4">
      <c r="A8" s="211"/>
      <c r="B8" s="212" t="s">
        <v>9</v>
      </c>
      <c r="C8" s="213">
        <v>30</v>
      </c>
      <c r="D8" s="213">
        <v>3</v>
      </c>
    </row>
    <row r="9" ht="26.25" spans="1:4">
      <c r="A9" s="205" t="s">
        <v>54</v>
      </c>
      <c r="B9" s="206"/>
      <c r="C9" s="207">
        <f>SUM(C10:C11)</f>
        <v>70</v>
      </c>
      <c r="D9" s="207">
        <f>SUM(D10:D11)</f>
        <v>6</v>
      </c>
    </row>
    <row r="10" ht="26.25" spans="1:4">
      <c r="A10" s="208"/>
      <c r="B10" s="209" t="s">
        <v>10</v>
      </c>
      <c r="C10" s="210">
        <v>30</v>
      </c>
      <c r="D10" s="210">
        <v>2.5</v>
      </c>
    </row>
    <row r="11" ht="26.25" spans="1:4">
      <c r="A11" s="211"/>
      <c r="B11" s="212" t="s">
        <v>11</v>
      </c>
      <c r="C11" s="213">
        <v>40</v>
      </c>
      <c r="D11" s="213">
        <v>3.5</v>
      </c>
    </row>
    <row r="12" ht="26.25" spans="1:4">
      <c r="A12" s="205" t="s">
        <v>55</v>
      </c>
      <c r="B12" s="206"/>
      <c r="C12" s="207">
        <f>SUM(C13:C14)</f>
        <v>60</v>
      </c>
      <c r="D12" s="207">
        <f>SUM(D13:D14)</f>
        <v>5.5</v>
      </c>
    </row>
    <row r="13" ht="26.25" spans="1:4">
      <c r="A13" s="211"/>
      <c r="B13" s="212" t="s">
        <v>12</v>
      </c>
      <c r="C13" s="213">
        <v>30</v>
      </c>
      <c r="D13" s="213">
        <v>2.5</v>
      </c>
    </row>
    <row r="14" ht="26.25" spans="1:4">
      <c r="A14" s="208"/>
      <c r="B14" s="209" t="s">
        <v>13</v>
      </c>
      <c r="C14" s="210">
        <v>30</v>
      </c>
      <c r="D14" s="210">
        <v>3</v>
      </c>
    </row>
    <row r="15" ht="26.25" spans="1:4">
      <c r="A15" s="205" t="s">
        <v>56</v>
      </c>
      <c r="B15" s="206"/>
      <c r="C15" s="207">
        <f>+C17+C16</f>
        <v>40</v>
      </c>
      <c r="D15" s="207">
        <f>+D17+D16</f>
        <v>3.5</v>
      </c>
    </row>
    <row r="16" ht="26.25" spans="1:4">
      <c r="A16" s="211"/>
      <c r="B16" s="212" t="s">
        <v>14</v>
      </c>
      <c r="C16" s="213">
        <v>20</v>
      </c>
      <c r="D16" s="213">
        <v>1.5</v>
      </c>
    </row>
    <row r="17" ht="26.25" spans="1:4">
      <c r="A17" s="211"/>
      <c r="B17" s="212" t="s">
        <v>15</v>
      </c>
      <c r="C17" s="213">
        <v>20</v>
      </c>
      <c r="D17" s="213">
        <v>2</v>
      </c>
    </row>
    <row r="18" ht="26.25" spans="1:4">
      <c r="A18" s="205" t="s">
        <v>57</v>
      </c>
      <c r="B18" s="206"/>
      <c r="C18" s="207">
        <f>SUM(C19:C20)</f>
        <v>60</v>
      </c>
      <c r="D18" s="207">
        <f>SUM(D19:D20)</f>
        <v>4</v>
      </c>
    </row>
    <row r="19" ht="26.25" spans="1:4">
      <c r="A19" s="208"/>
      <c r="B19" s="209" t="s">
        <v>58</v>
      </c>
      <c r="C19" s="210">
        <v>30</v>
      </c>
      <c r="D19" s="210">
        <v>2</v>
      </c>
    </row>
    <row r="20" ht="26.25" spans="1:4">
      <c r="A20" s="211"/>
      <c r="B20" s="212" t="s">
        <v>17</v>
      </c>
      <c r="C20" s="213">
        <v>30</v>
      </c>
      <c r="D20" s="213">
        <v>2</v>
      </c>
    </row>
    <row r="21" ht="26.25" spans="1:4">
      <c r="A21" s="198"/>
      <c r="B21" s="199"/>
      <c r="C21" s="200"/>
      <c r="D21" s="200"/>
    </row>
    <row r="22" ht="26.25" spans="1:4">
      <c r="A22" s="201" t="s">
        <v>59</v>
      </c>
      <c r="B22" s="202"/>
      <c r="C22" s="203">
        <f>SUM(C23:C39)/2</f>
        <v>360</v>
      </c>
      <c r="D22" s="203">
        <f>SUM(D23:D39)/2</f>
        <v>30</v>
      </c>
    </row>
    <row r="23" ht="26.25" spans="1:4">
      <c r="A23" s="205" t="s">
        <v>60</v>
      </c>
      <c r="B23" s="206"/>
      <c r="C23" s="207">
        <f>SUM(C24:C26)</f>
        <v>130</v>
      </c>
      <c r="D23" s="207">
        <f>SUM(D24:D26)</f>
        <v>11</v>
      </c>
    </row>
    <row r="24" ht="26.25" spans="1:4">
      <c r="A24" s="208"/>
      <c r="B24" s="209" t="s">
        <v>61</v>
      </c>
      <c r="C24" s="210">
        <v>50</v>
      </c>
      <c r="D24" s="210">
        <v>4</v>
      </c>
    </row>
    <row r="25" ht="26.25" spans="1:4">
      <c r="A25" s="208"/>
      <c r="B25" s="209" t="s">
        <v>62</v>
      </c>
      <c r="C25" s="210">
        <v>50</v>
      </c>
      <c r="D25" s="210">
        <v>4</v>
      </c>
    </row>
    <row r="26" ht="26.25" spans="1:4">
      <c r="A26" s="211"/>
      <c r="B26" s="212" t="s">
        <v>63</v>
      </c>
      <c r="C26" s="213">
        <v>30</v>
      </c>
      <c r="D26" s="213">
        <v>3</v>
      </c>
    </row>
    <row r="27" ht="26.25" spans="1:4">
      <c r="A27" s="205" t="s">
        <v>64</v>
      </c>
      <c r="B27" s="206"/>
      <c r="C27" s="207">
        <f>SUM(C28:C29)</f>
        <v>50</v>
      </c>
      <c r="D27" s="207">
        <f>SUM(D28:D29)</f>
        <v>5</v>
      </c>
    </row>
    <row r="28" ht="26.25" spans="1:4">
      <c r="A28" s="208"/>
      <c r="B28" s="209" t="s">
        <v>65</v>
      </c>
      <c r="C28" s="210">
        <v>20</v>
      </c>
      <c r="D28" s="210">
        <v>2</v>
      </c>
    </row>
    <row r="29" ht="26.25" spans="1:4">
      <c r="A29" s="211"/>
      <c r="B29" s="212" t="s">
        <v>66</v>
      </c>
      <c r="C29" s="213">
        <v>30</v>
      </c>
      <c r="D29" s="213">
        <v>3</v>
      </c>
    </row>
    <row r="30" ht="26.25" spans="1:4">
      <c r="A30" s="205" t="s">
        <v>67</v>
      </c>
      <c r="B30" s="206"/>
      <c r="C30" s="207">
        <f>SUM(C31:C33)</f>
        <v>60</v>
      </c>
      <c r="D30" s="207">
        <f>SUM(D31:D33)</f>
        <v>5</v>
      </c>
    </row>
    <row r="31" ht="26.25" spans="1:4">
      <c r="A31" s="208"/>
      <c r="B31" s="210" t="s">
        <v>68</v>
      </c>
      <c r="C31" s="210">
        <v>0</v>
      </c>
      <c r="D31" s="210">
        <v>1</v>
      </c>
    </row>
    <row r="32" ht="26.25" spans="1:4">
      <c r="A32" s="208"/>
      <c r="B32" s="210" t="s">
        <v>69</v>
      </c>
      <c r="C32" s="210">
        <v>30</v>
      </c>
      <c r="D32" s="210">
        <v>2</v>
      </c>
    </row>
    <row r="33" ht="26.25" spans="1:4">
      <c r="A33" s="211"/>
      <c r="B33" s="212" t="s">
        <v>70</v>
      </c>
      <c r="C33" s="213">
        <v>30</v>
      </c>
      <c r="D33" s="213">
        <v>2</v>
      </c>
    </row>
    <row r="34" ht="26.25" spans="1:4">
      <c r="A34" s="205" t="s">
        <v>71</v>
      </c>
      <c r="B34" s="206"/>
      <c r="C34" s="207">
        <f>SUM(C35:C36)</f>
        <v>60</v>
      </c>
      <c r="D34" s="207">
        <f>SUM(D35:D36)</f>
        <v>5</v>
      </c>
    </row>
    <row r="35" ht="26.25" spans="1:4">
      <c r="A35" s="211"/>
      <c r="B35" s="212" t="s">
        <v>72</v>
      </c>
      <c r="C35" s="213">
        <v>30</v>
      </c>
      <c r="D35" s="213">
        <v>2.5</v>
      </c>
    </row>
    <row r="36" ht="26.25" spans="1:4">
      <c r="A36" s="211"/>
      <c r="B36" s="213" t="s">
        <v>73</v>
      </c>
      <c r="C36" s="213">
        <v>30</v>
      </c>
      <c r="D36" s="213">
        <v>2.5</v>
      </c>
    </row>
    <row r="37" ht="26.25" spans="1:4">
      <c r="A37" s="205" t="s">
        <v>74</v>
      </c>
      <c r="B37" s="206"/>
      <c r="C37" s="207">
        <f>SUM(C38:C39)</f>
        <v>60</v>
      </c>
      <c r="D37" s="207">
        <f>SUM(D38:D39)</f>
        <v>4</v>
      </c>
    </row>
    <row r="38" ht="26.25" spans="1:4">
      <c r="A38" s="208"/>
      <c r="B38" s="209" t="s">
        <v>58</v>
      </c>
      <c r="C38" s="210">
        <v>30</v>
      </c>
      <c r="D38" s="210">
        <v>2</v>
      </c>
    </row>
    <row r="39" ht="26.25" spans="1:4">
      <c r="A39" s="211"/>
      <c r="B39" s="213" t="s">
        <v>17</v>
      </c>
      <c r="C39" s="213">
        <v>30</v>
      </c>
      <c r="D39" s="213">
        <v>2</v>
      </c>
    </row>
  </sheetData>
  <pageMargins left="0.7" right="0.7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2"/>
  <dimension ref="A1:AV27"/>
  <sheetViews>
    <sheetView zoomScale="80" zoomScaleNormal="80" topLeftCell="B1" workbookViewId="0">
      <pane xSplit="4" ySplit="4" topLeftCell="Y5" activePane="bottomRight" state="frozen"/>
      <selection/>
      <selection pane="topRight"/>
      <selection pane="bottomLeft"/>
      <selection pane="bottomRight" activeCell="E14" sqref="E14"/>
    </sheetView>
  </sheetViews>
  <sheetFormatPr defaultColWidth="11.5428571428571" defaultRowHeight="21"/>
  <cols>
    <col min="1" max="2" width="11.2285714285714" style="163" customWidth="1"/>
    <col min="3" max="3" width="17.3142857142857" style="163" customWidth="1"/>
    <col min="4" max="4" width="23.2285714285714" style="163" customWidth="1"/>
    <col min="5" max="5" width="11.2285714285714" style="163" customWidth="1"/>
    <col min="6" max="8" width="10.5428571428571" style="163" customWidth="1"/>
    <col min="9" max="13" width="11.3142857142857" style="163" customWidth="1"/>
    <col min="14" max="16" width="9.22857142857143" style="163" customWidth="1"/>
    <col min="17" max="19" width="13.2285714285714" style="163" customWidth="1"/>
    <col min="20" max="22" width="9" style="163" customWidth="1"/>
    <col min="23" max="31" width="13.2285714285714" style="163" customWidth="1"/>
    <col min="32" max="34" width="9" style="163" customWidth="1"/>
    <col min="35" max="37" width="9.22857142857143" style="163" customWidth="1"/>
    <col min="38" max="38" width="8.54285714285714" style="163" customWidth="1"/>
    <col min="39" max="39" width="9.45714285714286" style="163" customWidth="1"/>
    <col min="40" max="40" width="7.45714285714286" style="163" customWidth="1"/>
    <col min="41" max="41" width="9.08571428571429" style="163" customWidth="1"/>
    <col min="42" max="45" width="11.5428571428571" style="163"/>
    <col min="46" max="46" width="17.0857142857143" style="163" customWidth="1"/>
    <col min="47" max="16384" width="11.5428571428571" style="163"/>
  </cols>
  <sheetData>
    <row r="1" ht="71.4" customHeight="1" spans="1:48">
      <c r="A1" s="164" t="s">
        <v>0</v>
      </c>
      <c r="B1" s="164"/>
      <c r="C1" s="164"/>
      <c r="D1" s="164"/>
      <c r="E1" s="164"/>
      <c r="F1" s="165" t="s">
        <v>75</v>
      </c>
      <c r="G1" s="165"/>
      <c r="H1" s="165"/>
      <c r="I1" s="165"/>
      <c r="J1" s="165"/>
      <c r="K1" s="165"/>
      <c r="L1" s="165"/>
      <c r="M1" s="165"/>
      <c r="N1" s="165"/>
      <c r="O1" s="165" t="s">
        <v>76</v>
      </c>
      <c r="P1" s="165"/>
      <c r="Q1" s="165"/>
      <c r="R1" s="165"/>
      <c r="S1" s="165"/>
      <c r="T1" s="165"/>
      <c r="U1" s="165" t="s">
        <v>77</v>
      </c>
      <c r="V1" s="165"/>
      <c r="W1" s="165"/>
      <c r="X1" s="165"/>
      <c r="Y1" s="165"/>
      <c r="Z1" s="165"/>
      <c r="AA1" s="165"/>
      <c r="AB1" s="165"/>
      <c r="AC1" s="165"/>
      <c r="AD1" s="165" t="s">
        <v>4</v>
      </c>
      <c r="AE1" s="165"/>
      <c r="AF1" s="165"/>
      <c r="AG1" s="165"/>
      <c r="AH1" s="165"/>
      <c r="AI1" s="165"/>
      <c r="AJ1" s="165" t="s">
        <v>5</v>
      </c>
      <c r="AK1" s="165"/>
      <c r="AL1" s="165"/>
      <c r="AM1" s="165"/>
      <c r="AN1" s="165"/>
      <c r="AO1" s="165"/>
      <c r="AP1" s="177"/>
      <c r="AQ1" s="185" t="s">
        <v>6</v>
      </c>
      <c r="AR1" s="186"/>
      <c r="AS1" s="186"/>
      <c r="AT1" s="186"/>
      <c r="AU1" s="186"/>
      <c r="AV1" s="187"/>
    </row>
    <row r="2" s="161" customFormat="1" ht="71.4" customHeight="1" spans="1:43">
      <c r="A2" s="166"/>
      <c r="B2" s="166"/>
      <c r="C2" s="166"/>
      <c r="D2" s="166"/>
      <c r="E2" s="166"/>
      <c r="F2" s="167" t="s">
        <v>61</v>
      </c>
      <c r="G2" s="167"/>
      <c r="H2" s="167"/>
      <c r="I2" s="167" t="s">
        <v>62</v>
      </c>
      <c r="J2" s="167"/>
      <c r="K2" s="167"/>
      <c r="L2" s="179" t="s">
        <v>78</v>
      </c>
      <c r="M2" s="179"/>
      <c r="N2" s="179"/>
      <c r="O2" s="179" t="s">
        <v>65</v>
      </c>
      <c r="P2" s="179" t="s">
        <v>10</v>
      </c>
      <c r="Q2" s="179" t="s">
        <v>10</v>
      </c>
      <c r="R2" s="179" t="s">
        <v>66</v>
      </c>
      <c r="S2" s="179" t="s">
        <v>11</v>
      </c>
      <c r="T2" s="179" t="s">
        <v>11</v>
      </c>
      <c r="U2" s="179" t="s">
        <v>68</v>
      </c>
      <c r="V2" s="179" t="s">
        <v>12</v>
      </c>
      <c r="W2" s="179" t="s">
        <v>12</v>
      </c>
      <c r="X2" s="179" t="s">
        <v>69</v>
      </c>
      <c r="Y2" s="179" t="s">
        <v>12</v>
      </c>
      <c r="Z2" s="179" t="s">
        <v>12</v>
      </c>
      <c r="AA2" s="179" t="s">
        <v>70</v>
      </c>
      <c r="AB2" s="179" t="s">
        <v>12</v>
      </c>
      <c r="AC2" s="179" t="s">
        <v>12</v>
      </c>
      <c r="AD2" s="179" t="s">
        <v>72</v>
      </c>
      <c r="AE2" s="179" t="s">
        <v>14</v>
      </c>
      <c r="AF2" s="179" t="s">
        <v>14</v>
      </c>
      <c r="AG2" s="179" t="s">
        <v>73</v>
      </c>
      <c r="AH2" s="179" t="s">
        <v>15</v>
      </c>
      <c r="AI2" s="179" t="s">
        <v>15</v>
      </c>
      <c r="AJ2" s="179" t="s">
        <v>16</v>
      </c>
      <c r="AK2" s="179"/>
      <c r="AL2" s="179"/>
      <c r="AM2" s="179" t="s">
        <v>17</v>
      </c>
      <c r="AN2" s="179"/>
      <c r="AO2" s="179"/>
      <c r="AP2" s="188"/>
      <c r="AQ2" s="166"/>
    </row>
    <row r="3" s="161" customFormat="1" ht="37.5" customHeight="1" spans="1:43">
      <c r="A3" s="166"/>
      <c r="B3" s="166"/>
      <c r="C3" s="166"/>
      <c r="D3" s="166"/>
      <c r="E3" s="166"/>
      <c r="F3" s="167"/>
      <c r="G3" s="167"/>
      <c r="H3" s="167">
        <v>4</v>
      </c>
      <c r="I3" s="167"/>
      <c r="J3" s="167"/>
      <c r="K3" s="167">
        <v>4</v>
      </c>
      <c r="L3" s="179"/>
      <c r="M3" s="179"/>
      <c r="N3" s="179">
        <v>3</v>
      </c>
      <c r="O3" s="179"/>
      <c r="P3" s="179"/>
      <c r="Q3" s="179">
        <v>2</v>
      </c>
      <c r="R3" s="179"/>
      <c r="S3" s="179"/>
      <c r="T3" s="179">
        <v>3</v>
      </c>
      <c r="U3" s="179"/>
      <c r="V3" s="179"/>
      <c r="W3" s="179">
        <v>1</v>
      </c>
      <c r="X3" s="179"/>
      <c r="Y3" s="179"/>
      <c r="Z3" s="179">
        <v>2</v>
      </c>
      <c r="AA3" s="179"/>
      <c r="AB3" s="179"/>
      <c r="AC3" s="179">
        <v>2</v>
      </c>
      <c r="AD3" s="179"/>
      <c r="AE3" s="179"/>
      <c r="AF3" s="179">
        <v>2.5</v>
      </c>
      <c r="AG3" s="179"/>
      <c r="AH3" s="179"/>
      <c r="AI3" s="179">
        <v>2.5</v>
      </c>
      <c r="AJ3" s="179"/>
      <c r="AK3" s="179"/>
      <c r="AL3" s="179">
        <v>2</v>
      </c>
      <c r="AM3" s="179"/>
      <c r="AN3" s="179"/>
      <c r="AO3" s="179">
        <v>2</v>
      </c>
      <c r="AP3" s="188"/>
      <c r="AQ3" s="166"/>
    </row>
    <row r="4" spans="1:44">
      <c r="A4" s="168" t="s">
        <v>18</v>
      </c>
      <c r="B4" s="169" t="s">
        <v>19</v>
      </c>
      <c r="C4" s="169" t="s">
        <v>20</v>
      </c>
      <c r="D4" s="169" t="s">
        <v>21</v>
      </c>
      <c r="E4" s="169" t="s">
        <v>22</v>
      </c>
      <c r="F4" s="170" t="s">
        <v>23</v>
      </c>
      <c r="G4" s="170" t="s">
        <v>24</v>
      </c>
      <c r="H4" s="170" t="s">
        <v>25</v>
      </c>
      <c r="I4" s="170" t="s">
        <v>23</v>
      </c>
      <c r="J4" s="170" t="s">
        <v>24</v>
      </c>
      <c r="K4" s="170" t="s">
        <v>25</v>
      </c>
      <c r="L4" s="170" t="s">
        <v>23</v>
      </c>
      <c r="M4" s="170" t="s">
        <v>24</v>
      </c>
      <c r="N4" s="170" t="s">
        <v>25</v>
      </c>
      <c r="O4" s="170" t="s">
        <v>23</v>
      </c>
      <c r="P4" s="170" t="s">
        <v>24</v>
      </c>
      <c r="Q4" s="170" t="s">
        <v>25</v>
      </c>
      <c r="R4" s="170" t="s">
        <v>23</v>
      </c>
      <c r="S4" s="170" t="s">
        <v>24</v>
      </c>
      <c r="T4" s="170" t="s">
        <v>25</v>
      </c>
      <c r="U4" s="170" t="s">
        <v>23</v>
      </c>
      <c r="V4" s="170" t="s">
        <v>24</v>
      </c>
      <c r="W4" s="170" t="s">
        <v>25</v>
      </c>
      <c r="X4" s="170" t="s">
        <v>23</v>
      </c>
      <c r="Y4" s="170" t="s">
        <v>24</v>
      </c>
      <c r="Z4" s="170" t="s">
        <v>25</v>
      </c>
      <c r="AA4" s="170" t="s">
        <v>23</v>
      </c>
      <c r="AB4" s="170" t="s">
        <v>24</v>
      </c>
      <c r="AC4" s="170" t="s">
        <v>25</v>
      </c>
      <c r="AD4" s="170" t="s">
        <v>23</v>
      </c>
      <c r="AE4" s="170" t="s">
        <v>24</v>
      </c>
      <c r="AF4" s="170" t="s">
        <v>25</v>
      </c>
      <c r="AG4" s="170" t="s">
        <v>23</v>
      </c>
      <c r="AH4" s="170" t="s">
        <v>24</v>
      </c>
      <c r="AI4" s="170" t="s">
        <v>25</v>
      </c>
      <c r="AJ4" s="170" t="s">
        <v>23</v>
      </c>
      <c r="AK4" s="170" t="s">
        <v>24</v>
      </c>
      <c r="AL4" s="170" t="s">
        <v>25</v>
      </c>
      <c r="AM4" s="170" t="s">
        <v>23</v>
      </c>
      <c r="AN4" s="170" t="s">
        <v>24</v>
      </c>
      <c r="AO4" s="170" t="s">
        <v>25</v>
      </c>
      <c r="AP4" s="189" t="s">
        <v>79</v>
      </c>
      <c r="AQ4" s="177" t="s">
        <v>6</v>
      </c>
      <c r="AR4" s="163" t="s">
        <v>80</v>
      </c>
    </row>
    <row r="5" spans="1:46">
      <c r="A5" s="171"/>
      <c r="B5" s="168"/>
      <c r="C5" s="172" t="s">
        <v>45</v>
      </c>
      <c r="D5" s="172" t="s">
        <v>46</v>
      </c>
      <c r="E5" s="173"/>
      <c r="F5" s="174"/>
      <c r="G5" s="175"/>
      <c r="H5" s="176">
        <f t="shared" ref="H5:H17" si="0">IF(G5&gt;0,AVERAGE(F5:G5),F5)</f>
        <v>0</v>
      </c>
      <c r="I5" s="174"/>
      <c r="J5" s="175"/>
      <c r="K5" s="176">
        <f t="shared" ref="K5:K17" si="1">IF(J5&gt;0,AVERAGE(I5:J5),I5)</f>
        <v>0</v>
      </c>
      <c r="L5" s="180"/>
      <c r="M5" s="181"/>
      <c r="N5" s="176">
        <f t="shared" ref="N5:N17" si="2">IF(M5&gt;0,AVERAGE(L5:M5),L5)</f>
        <v>0</v>
      </c>
      <c r="O5" s="182"/>
      <c r="P5" s="172"/>
      <c r="Q5" s="176">
        <f t="shared" ref="Q5:Q17" si="3">IF(P5&gt;0,AVERAGE(O5:P5),O5)</f>
        <v>0</v>
      </c>
      <c r="R5" s="180"/>
      <c r="S5" s="183"/>
      <c r="T5" s="176">
        <f t="shared" ref="T5:T17" si="4">IF(S5&gt;0,AVERAGE(R5:S5),R5)</f>
        <v>0</v>
      </c>
      <c r="U5" s="184"/>
      <c r="V5" s="172"/>
      <c r="W5" s="176">
        <f t="shared" ref="W5:W17" si="5">IF(V5&gt;0,AVERAGE(U5:V5),U5)</f>
        <v>0</v>
      </c>
      <c r="X5" s="168"/>
      <c r="Y5" s="168"/>
      <c r="Z5" s="176">
        <f t="shared" ref="Z5:Z17" si="6">IF(Y5&gt;0,AVERAGE(X5:Y5),X5)</f>
        <v>0</v>
      </c>
      <c r="AA5" s="168"/>
      <c r="AB5" s="183"/>
      <c r="AC5" s="176">
        <f t="shared" ref="AC5:AC17" si="7">IF(AB5&gt;0,AVERAGE(AA5:AB5),AA5)</f>
        <v>0</v>
      </c>
      <c r="AD5" s="172"/>
      <c r="AE5" s="172"/>
      <c r="AF5" s="176">
        <f t="shared" ref="AF5:AF17" si="8">IF(AE5&gt;0,AVERAGE(AD5:AE5),AD5)</f>
        <v>0</v>
      </c>
      <c r="AG5" s="172"/>
      <c r="AH5" s="172"/>
      <c r="AI5" s="176">
        <f t="shared" ref="AI5:AI17" si="9">IF(AH5&gt;0,AVERAGE(AG5:AH5),AG5)</f>
        <v>0</v>
      </c>
      <c r="AJ5" s="180"/>
      <c r="AK5" s="183"/>
      <c r="AL5" s="176">
        <f t="shared" ref="AL5:AL17" si="10">IF(AK5&gt;0,AVERAGE(AJ5:AK5),AJ5)</f>
        <v>0</v>
      </c>
      <c r="AM5" s="180"/>
      <c r="AN5" s="172"/>
      <c r="AO5" s="176">
        <f t="shared" ref="AO5:AO17" si="11">IF(AN5&gt;0,AVERAGE(AM5:AN5),AM5)</f>
        <v>0</v>
      </c>
      <c r="AP5" s="190">
        <f t="shared" ref="AP5:AP17" si="12">SUMPRODUCT(F5:AO5,$F$3:$AO$3)/SUM($F$3:$AO$3)</f>
        <v>0</v>
      </c>
      <c r="AQ5" s="191">
        <f>RANK(AR5,$AR$5:$AR$22)</f>
        <v>1</v>
      </c>
      <c r="AR5" s="192">
        <f>AVERAGE(AP5,Semestre1!AM5)</f>
        <v>0</v>
      </c>
      <c r="AS5" s="193"/>
      <c r="AT5" s="193"/>
    </row>
    <row r="6" spans="1:46">
      <c r="A6" s="171"/>
      <c r="B6" s="168"/>
      <c r="C6" s="172" t="s">
        <v>33</v>
      </c>
      <c r="D6" s="172" t="s">
        <v>30</v>
      </c>
      <c r="E6" s="173"/>
      <c r="F6" s="174"/>
      <c r="G6" s="175"/>
      <c r="H6" s="176">
        <f t="shared" si="0"/>
        <v>0</v>
      </c>
      <c r="I6" s="174"/>
      <c r="J6" s="175"/>
      <c r="K6" s="176">
        <f t="shared" si="1"/>
        <v>0</v>
      </c>
      <c r="L6" s="180"/>
      <c r="M6" s="181"/>
      <c r="N6" s="176">
        <f t="shared" si="2"/>
        <v>0</v>
      </c>
      <c r="O6" s="182"/>
      <c r="P6" s="172"/>
      <c r="Q6" s="176">
        <f t="shared" si="3"/>
        <v>0</v>
      </c>
      <c r="R6" s="180"/>
      <c r="S6" s="183"/>
      <c r="T6" s="176">
        <f t="shared" si="4"/>
        <v>0</v>
      </c>
      <c r="U6" s="184"/>
      <c r="V6" s="172"/>
      <c r="W6" s="176">
        <f t="shared" si="5"/>
        <v>0</v>
      </c>
      <c r="X6" s="168"/>
      <c r="Y6" s="168"/>
      <c r="Z6" s="176">
        <f t="shared" si="6"/>
        <v>0</v>
      </c>
      <c r="AA6" s="168"/>
      <c r="AB6" s="183"/>
      <c r="AC6" s="176">
        <f t="shared" si="7"/>
        <v>0</v>
      </c>
      <c r="AD6" s="172"/>
      <c r="AE6" s="172"/>
      <c r="AF6" s="176">
        <f t="shared" si="8"/>
        <v>0</v>
      </c>
      <c r="AG6" s="172"/>
      <c r="AH6" s="172"/>
      <c r="AI6" s="176">
        <f t="shared" si="9"/>
        <v>0</v>
      </c>
      <c r="AJ6" s="180"/>
      <c r="AK6" s="183"/>
      <c r="AL6" s="176">
        <f t="shared" si="10"/>
        <v>0</v>
      </c>
      <c r="AM6" s="180"/>
      <c r="AN6" s="172"/>
      <c r="AO6" s="176">
        <f t="shared" si="11"/>
        <v>0</v>
      </c>
      <c r="AP6" s="190">
        <f t="shared" si="12"/>
        <v>0</v>
      </c>
      <c r="AQ6" s="191">
        <f t="shared" ref="AQ6:AQ22" si="13">RANK(AR6,$AR$5:$AR$22)</f>
        <v>1</v>
      </c>
      <c r="AR6" s="192">
        <f>AVERAGE(AP6,Semestre1!AM6)</f>
        <v>0</v>
      </c>
      <c r="AS6" s="193"/>
      <c r="AT6" s="193"/>
    </row>
    <row r="7" spans="1:46">
      <c r="A7" s="171"/>
      <c r="B7" s="177"/>
      <c r="C7" s="172" t="s">
        <v>44</v>
      </c>
      <c r="D7" s="172" t="s">
        <v>28</v>
      </c>
      <c r="E7" s="177"/>
      <c r="F7" s="174"/>
      <c r="G7" s="175"/>
      <c r="H7" s="176">
        <f t="shared" si="0"/>
        <v>0</v>
      </c>
      <c r="I7" s="174"/>
      <c r="J7" s="175"/>
      <c r="K7" s="176">
        <f t="shared" si="1"/>
        <v>0</v>
      </c>
      <c r="L7" s="180"/>
      <c r="M7" s="177"/>
      <c r="N7" s="176">
        <f t="shared" si="2"/>
        <v>0</v>
      </c>
      <c r="O7" s="182"/>
      <c r="P7" s="177"/>
      <c r="Q7" s="176">
        <f t="shared" si="3"/>
        <v>0</v>
      </c>
      <c r="R7" s="180"/>
      <c r="S7" s="177"/>
      <c r="T7" s="176">
        <f t="shared" si="4"/>
        <v>0</v>
      </c>
      <c r="U7" s="184"/>
      <c r="V7" s="177"/>
      <c r="W7" s="176">
        <f t="shared" si="5"/>
        <v>0</v>
      </c>
      <c r="X7" s="168"/>
      <c r="Y7" s="168"/>
      <c r="Z7" s="176">
        <f t="shared" si="6"/>
        <v>0</v>
      </c>
      <c r="AA7" s="168"/>
      <c r="AB7" s="177"/>
      <c r="AC7" s="176">
        <f t="shared" si="7"/>
        <v>0</v>
      </c>
      <c r="AD7" s="177"/>
      <c r="AE7" s="177"/>
      <c r="AF7" s="176">
        <f t="shared" si="8"/>
        <v>0</v>
      </c>
      <c r="AG7" s="172"/>
      <c r="AH7" s="177"/>
      <c r="AI7" s="176">
        <f t="shared" si="9"/>
        <v>0</v>
      </c>
      <c r="AJ7" s="180"/>
      <c r="AK7" s="177"/>
      <c r="AL7" s="176">
        <f t="shared" si="10"/>
        <v>0</v>
      </c>
      <c r="AM7" s="180"/>
      <c r="AN7" s="177"/>
      <c r="AO7" s="176">
        <f t="shared" si="11"/>
        <v>0</v>
      </c>
      <c r="AP7" s="190">
        <f t="shared" si="12"/>
        <v>0</v>
      </c>
      <c r="AQ7" s="191">
        <f t="shared" si="13"/>
        <v>1</v>
      </c>
      <c r="AR7" s="192">
        <f>AVERAGE(AP7,Semestre1!AM7)</f>
        <v>0</v>
      </c>
      <c r="AS7" s="193"/>
      <c r="AT7" s="193"/>
    </row>
    <row r="8" spans="1:46">
      <c r="A8" s="171"/>
      <c r="B8" s="168"/>
      <c r="C8" s="172" t="s">
        <v>32</v>
      </c>
      <c r="D8" s="172" t="s">
        <v>28</v>
      </c>
      <c r="E8" s="173"/>
      <c r="F8" s="174"/>
      <c r="G8" s="175"/>
      <c r="H8" s="176">
        <f t="shared" si="0"/>
        <v>0</v>
      </c>
      <c r="I8" s="174"/>
      <c r="J8" s="175"/>
      <c r="K8" s="176">
        <f t="shared" si="1"/>
        <v>0</v>
      </c>
      <c r="L8" s="180"/>
      <c r="M8" s="181"/>
      <c r="N8" s="176">
        <f t="shared" si="2"/>
        <v>0</v>
      </c>
      <c r="O8" s="182"/>
      <c r="P8" s="172"/>
      <c r="Q8" s="176">
        <f t="shared" si="3"/>
        <v>0</v>
      </c>
      <c r="R8" s="180"/>
      <c r="S8" s="183"/>
      <c r="T8" s="176">
        <f t="shared" si="4"/>
        <v>0</v>
      </c>
      <c r="U8" s="184"/>
      <c r="V8" s="172"/>
      <c r="W8" s="176">
        <f t="shared" si="5"/>
        <v>0</v>
      </c>
      <c r="X8" s="168"/>
      <c r="Y8" s="168"/>
      <c r="Z8" s="176">
        <f t="shared" si="6"/>
        <v>0</v>
      </c>
      <c r="AA8" s="168"/>
      <c r="AB8" s="183"/>
      <c r="AC8" s="176">
        <f t="shared" si="7"/>
        <v>0</v>
      </c>
      <c r="AD8" s="172"/>
      <c r="AE8" s="172"/>
      <c r="AF8" s="176">
        <f t="shared" si="8"/>
        <v>0</v>
      </c>
      <c r="AG8" s="172"/>
      <c r="AH8" s="172"/>
      <c r="AI8" s="176">
        <f t="shared" si="9"/>
        <v>0</v>
      </c>
      <c r="AJ8" s="180"/>
      <c r="AK8" s="183"/>
      <c r="AL8" s="176">
        <f t="shared" si="10"/>
        <v>0</v>
      </c>
      <c r="AM8" s="180"/>
      <c r="AN8" s="172"/>
      <c r="AO8" s="176">
        <f t="shared" si="11"/>
        <v>0</v>
      </c>
      <c r="AP8" s="190">
        <f t="shared" si="12"/>
        <v>0</v>
      </c>
      <c r="AQ8" s="191">
        <f t="shared" si="13"/>
        <v>1</v>
      </c>
      <c r="AR8" s="192">
        <f>AVERAGE(AP8,Semestre1!AM8)</f>
        <v>0</v>
      </c>
      <c r="AS8" s="193"/>
      <c r="AT8" s="193"/>
    </row>
    <row r="9" spans="1:46">
      <c r="A9" s="171"/>
      <c r="B9" s="177"/>
      <c r="C9" s="172" t="s">
        <v>43</v>
      </c>
      <c r="D9" s="172" t="s">
        <v>28</v>
      </c>
      <c r="E9" s="177"/>
      <c r="F9" s="174"/>
      <c r="G9" s="175"/>
      <c r="H9" s="176">
        <f t="shared" si="0"/>
        <v>0</v>
      </c>
      <c r="I9" s="174"/>
      <c r="J9" s="175"/>
      <c r="K9" s="176">
        <f t="shared" si="1"/>
        <v>0</v>
      </c>
      <c r="L9" s="180"/>
      <c r="M9" s="177"/>
      <c r="N9" s="176">
        <f t="shared" si="2"/>
        <v>0</v>
      </c>
      <c r="O9" s="182"/>
      <c r="P9" s="177"/>
      <c r="Q9" s="176">
        <f t="shared" si="3"/>
        <v>0</v>
      </c>
      <c r="R9" s="180"/>
      <c r="S9" s="177"/>
      <c r="T9" s="176">
        <f t="shared" si="4"/>
        <v>0</v>
      </c>
      <c r="U9" s="184"/>
      <c r="V9" s="177"/>
      <c r="W9" s="176">
        <f t="shared" si="5"/>
        <v>0</v>
      </c>
      <c r="X9" s="168"/>
      <c r="Y9" s="168"/>
      <c r="Z9" s="176">
        <f t="shared" si="6"/>
        <v>0</v>
      </c>
      <c r="AA9" s="168"/>
      <c r="AB9" s="177"/>
      <c r="AC9" s="176">
        <f t="shared" si="7"/>
        <v>0</v>
      </c>
      <c r="AD9" s="177"/>
      <c r="AE9" s="177"/>
      <c r="AF9" s="176">
        <f t="shared" si="8"/>
        <v>0</v>
      </c>
      <c r="AG9" s="172"/>
      <c r="AH9" s="177"/>
      <c r="AI9" s="176">
        <f t="shared" si="9"/>
        <v>0</v>
      </c>
      <c r="AJ9" s="180"/>
      <c r="AK9" s="177"/>
      <c r="AL9" s="176">
        <f t="shared" si="10"/>
        <v>0</v>
      </c>
      <c r="AM9" s="180"/>
      <c r="AN9" s="177"/>
      <c r="AO9" s="176">
        <f t="shared" si="11"/>
        <v>0</v>
      </c>
      <c r="AP9" s="190">
        <f t="shared" si="12"/>
        <v>0</v>
      </c>
      <c r="AQ9" s="191">
        <f t="shared" si="13"/>
        <v>1</v>
      </c>
      <c r="AR9" s="192">
        <f>AVERAGE(AP9,Semestre1!AM9)</f>
        <v>0</v>
      </c>
      <c r="AS9" s="193"/>
      <c r="AT9" s="193"/>
    </row>
    <row r="10" spans="1:46">
      <c r="A10" s="171"/>
      <c r="B10" s="168"/>
      <c r="C10" s="172" t="s">
        <v>41</v>
      </c>
      <c r="D10" s="172" t="s">
        <v>28</v>
      </c>
      <c r="E10" s="173"/>
      <c r="F10" s="174"/>
      <c r="G10" s="175"/>
      <c r="H10" s="176">
        <f t="shared" si="0"/>
        <v>0</v>
      </c>
      <c r="I10" s="174"/>
      <c r="J10" s="175"/>
      <c r="K10" s="176">
        <f t="shared" si="1"/>
        <v>0</v>
      </c>
      <c r="L10" s="180"/>
      <c r="M10" s="181"/>
      <c r="N10" s="176">
        <f t="shared" si="2"/>
        <v>0</v>
      </c>
      <c r="O10" s="182"/>
      <c r="P10" s="172"/>
      <c r="Q10" s="176">
        <f t="shared" si="3"/>
        <v>0</v>
      </c>
      <c r="R10" s="180"/>
      <c r="S10" s="183"/>
      <c r="T10" s="176">
        <f t="shared" si="4"/>
        <v>0</v>
      </c>
      <c r="U10" s="184"/>
      <c r="V10" s="172"/>
      <c r="W10" s="176">
        <f t="shared" si="5"/>
        <v>0</v>
      </c>
      <c r="X10" s="168"/>
      <c r="Y10" s="168"/>
      <c r="Z10" s="176">
        <f t="shared" si="6"/>
        <v>0</v>
      </c>
      <c r="AA10" s="168"/>
      <c r="AB10" s="183"/>
      <c r="AC10" s="176">
        <f t="shared" si="7"/>
        <v>0</v>
      </c>
      <c r="AD10" s="172"/>
      <c r="AE10" s="172"/>
      <c r="AF10" s="176">
        <f t="shared" si="8"/>
        <v>0</v>
      </c>
      <c r="AG10" s="172"/>
      <c r="AH10" s="172"/>
      <c r="AI10" s="176">
        <f t="shared" si="9"/>
        <v>0</v>
      </c>
      <c r="AJ10" s="180"/>
      <c r="AK10" s="183"/>
      <c r="AL10" s="176">
        <f t="shared" si="10"/>
        <v>0</v>
      </c>
      <c r="AM10" s="180"/>
      <c r="AN10" s="172"/>
      <c r="AO10" s="176">
        <f t="shared" si="11"/>
        <v>0</v>
      </c>
      <c r="AP10" s="190">
        <f t="shared" si="12"/>
        <v>0</v>
      </c>
      <c r="AQ10" s="191">
        <f t="shared" si="13"/>
        <v>1</v>
      </c>
      <c r="AR10" s="192">
        <f>AVERAGE(AP10,Semestre1!AM10)</f>
        <v>0</v>
      </c>
      <c r="AS10" s="193"/>
      <c r="AT10" s="193"/>
    </row>
    <row r="11" spans="1:46">
      <c r="A11" s="171"/>
      <c r="B11" s="178"/>
      <c r="C11" s="172" t="s">
        <v>39</v>
      </c>
      <c r="D11" s="172" t="s">
        <v>28</v>
      </c>
      <c r="E11" s="178"/>
      <c r="F11" s="174"/>
      <c r="G11" s="175"/>
      <c r="H11" s="176">
        <f t="shared" si="0"/>
        <v>0</v>
      </c>
      <c r="I11" s="174"/>
      <c r="J11" s="175"/>
      <c r="K11" s="176">
        <f t="shared" si="1"/>
        <v>0</v>
      </c>
      <c r="L11" s="180"/>
      <c r="M11" s="178"/>
      <c r="N11" s="176">
        <f t="shared" si="2"/>
        <v>0</v>
      </c>
      <c r="O11" s="182"/>
      <c r="P11" s="178"/>
      <c r="Q11" s="176">
        <f t="shared" si="3"/>
        <v>0</v>
      </c>
      <c r="R11" s="180"/>
      <c r="S11" s="178"/>
      <c r="T11" s="176">
        <f t="shared" si="4"/>
        <v>0</v>
      </c>
      <c r="U11" s="184"/>
      <c r="V11" s="178"/>
      <c r="W11" s="176">
        <f t="shared" si="5"/>
        <v>0</v>
      </c>
      <c r="X11" s="168"/>
      <c r="Y11" s="168"/>
      <c r="Z11" s="176">
        <f t="shared" si="6"/>
        <v>0</v>
      </c>
      <c r="AA11" s="168"/>
      <c r="AB11" s="178"/>
      <c r="AC11" s="176">
        <f t="shared" si="7"/>
        <v>0</v>
      </c>
      <c r="AD11" s="178"/>
      <c r="AE11" s="178"/>
      <c r="AF11" s="176">
        <f t="shared" si="8"/>
        <v>0</v>
      </c>
      <c r="AG11" s="178"/>
      <c r="AH11" s="178"/>
      <c r="AI11" s="176">
        <f t="shared" si="9"/>
        <v>0</v>
      </c>
      <c r="AJ11" s="180"/>
      <c r="AK11" s="178"/>
      <c r="AL11" s="176">
        <f t="shared" si="10"/>
        <v>0</v>
      </c>
      <c r="AM11" s="180"/>
      <c r="AN11" s="178"/>
      <c r="AO11" s="176">
        <f t="shared" si="11"/>
        <v>0</v>
      </c>
      <c r="AP11" s="190">
        <f t="shared" si="12"/>
        <v>0</v>
      </c>
      <c r="AQ11" s="191">
        <f t="shared" si="13"/>
        <v>1</v>
      </c>
      <c r="AR11" s="192">
        <f>AVERAGE(AP11,Semestre1!AM11)</f>
        <v>0</v>
      </c>
      <c r="AS11" s="193"/>
      <c r="AT11" s="193"/>
    </row>
    <row r="12" spans="1:46">
      <c r="A12" s="171"/>
      <c r="B12" s="168"/>
      <c r="C12" s="172" t="s">
        <v>38</v>
      </c>
      <c r="D12" s="172" t="s">
        <v>30</v>
      </c>
      <c r="E12" s="173"/>
      <c r="F12" s="174"/>
      <c r="G12" s="175"/>
      <c r="H12" s="176">
        <f t="shared" si="0"/>
        <v>0</v>
      </c>
      <c r="I12" s="174"/>
      <c r="J12" s="175"/>
      <c r="K12" s="176">
        <f t="shared" si="1"/>
        <v>0</v>
      </c>
      <c r="L12" s="180"/>
      <c r="M12" s="181"/>
      <c r="N12" s="176">
        <f t="shared" si="2"/>
        <v>0</v>
      </c>
      <c r="O12" s="182"/>
      <c r="P12" s="172"/>
      <c r="Q12" s="176">
        <f t="shared" si="3"/>
        <v>0</v>
      </c>
      <c r="R12" s="180"/>
      <c r="S12" s="183"/>
      <c r="T12" s="176">
        <f t="shared" si="4"/>
        <v>0</v>
      </c>
      <c r="U12" s="184"/>
      <c r="V12" s="172"/>
      <c r="W12" s="176">
        <f t="shared" si="5"/>
        <v>0</v>
      </c>
      <c r="X12" s="168"/>
      <c r="Y12" s="168"/>
      <c r="Z12" s="176">
        <f t="shared" si="6"/>
        <v>0</v>
      </c>
      <c r="AA12" s="168"/>
      <c r="AB12" s="183"/>
      <c r="AC12" s="176">
        <f t="shared" si="7"/>
        <v>0</v>
      </c>
      <c r="AD12" s="172"/>
      <c r="AE12" s="172"/>
      <c r="AF12" s="176">
        <f t="shared" si="8"/>
        <v>0</v>
      </c>
      <c r="AG12" s="172"/>
      <c r="AH12" s="172"/>
      <c r="AI12" s="176">
        <f t="shared" si="9"/>
        <v>0</v>
      </c>
      <c r="AJ12" s="180"/>
      <c r="AK12" s="183"/>
      <c r="AL12" s="176">
        <f t="shared" si="10"/>
        <v>0</v>
      </c>
      <c r="AM12" s="180"/>
      <c r="AN12" s="172"/>
      <c r="AO12" s="176">
        <f t="shared" si="11"/>
        <v>0</v>
      </c>
      <c r="AP12" s="190">
        <f t="shared" si="12"/>
        <v>0</v>
      </c>
      <c r="AQ12" s="191">
        <f t="shared" si="13"/>
        <v>1</v>
      </c>
      <c r="AR12" s="192">
        <f>AVERAGE(AP12,Semestre1!AM12)</f>
        <v>0</v>
      </c>
      <c r="AS12" s="193"/>
      <c r="AT12" s="193"/>
    </row>
    <row r="13" spans="1:46">
      <c r="A13" s="171"/>
      <c r="B13" s="168"/>
      <c r="C13" s="172" t="s">
        <v>42</v>
      </c>
      <c r="D13" s="172" t="s">
        <v>28</v>
      </c>
      <c r="E13" s="173"/>
      <c r="F13" s="174"/>
      <c r="G13" s="175"/>
      <c r="H13" s="176">
        <f t="shared" si="0"/>
        <v>0</v>
      </c>
      <c r="I13" s="174"/>
      <c r="J13" s="175"/>
      <c r="K13" s="176">
        <f t="shared" si="1"/>
        <v>0</v>
      </c>
      <c r="L13" s="180"/>
      <c r="M13" s="181"/>
      <c r="N13" s="176">
        <f t="shared" si="2"/>
        <v>0</v>
      </c>
      <c r="O13" s="182"/>
      <c r="P13" s="172"/>
      <c r="Q13" s="176">
        <f t="shared" si="3"/>
        <v>0</v>
      </c>
      <c r="R13" s="180"/>
      <c r="S13" s="183"/>
      <c r="T13" s="176">
        <f t="shared" si="4"/>
        <v>0</v>
      </c>
      <c r="U13" s="184"/>
      <c r="V13" s="172"/>
      <c r="W13" s="176">
        <f t="shared" si="5"/>
        <v>0</v>
      </c>
      <c r="X13" s="168"/>
      <c r="Y13" s="168"/>
      <c r="Z13" s="176">
        <f t="shared" si="6"/>
        <v>0</v>
      </c>
      <c r="AA13" s="168"/>
      <c r="AB13" s="183"/>
      <c r="AC13" s="176">
        <f t="shared" si="7"/>
        <v>0</v>
      </c>
      <c r="AD13" s="172"/>
      <c r="AE13" s="172"/>
      <c r="AF13" s="176">
        <f t="shared" si="8"/>
        <v>0</v>
      </c>
      <c r="AG13" s="172"/>
      <c r="AH13" s="172"/>
      <c r="AI13" s="176">
        <f t="shared" si="9"/>
        <v>0</v>
      </c>
      <c r="AJ13" s="180"/>
      <c r="AK13" s="183"/>
      <c r="AL13" s="176">
        <f t="shared" si="10"/>
        <v>0</v>
      </c>
      <c r="AM13" s="180"/>
      <c r="AN13" s="172"/>
      <c r="AO13" s="176">
        <f t="shared" si="11"/>
        <v>0</v>
      </c>
      <c r="AP13" s="190">
        <f t="shared" si="12"/>
        <v>0</v>
      </c>
      <c r="AQ13" s="191">
        <f t="shared" si="13"/>
        <v>1</v>
      </c>
      <c r="AR13" s="192">
        <f>AVERAGE(AP13,Semestre1!AM13)</f>
        <v>0</v>
      </c>
      <c r="AS13" s="193"/>
      <c r="AT13" s="193"/>
    </row>
    <row r="14" spans="1:46">
      <c r="A14" s="171"/>
      <c r="B14" s="168"/>
      <c r="C14" s="172" t="s">
        <v>29</v>
      </c>
      <c r="D14" s="172" t="s">
        <v>30</v>
      </c>
      <c r="E14" s="173">
        <v>2000</v>
      </c>
      <c r="F14" s="174"/>
      <c r="G14" s="175"/>
      <c r="H14" s="176">
        <f t="shared" si="0"/>
        <v>0</v>
      </c>
      <c r="I14" s="174"/>
      <c r="J14" s="175"/>
      <c r="K14" s="176">
        <f t="shared" si="1"/>
        <v>0</v>
      </c>
      <c r="L14" s="180"/>
      <c r="M14" s="181"/>
      <c r="N14" s="176">
        <f t="shared" si="2"/>
        <v>0</v>
      </c>
      <c r="O14" s="182"/>
      <c r="P14" s="172"/>
      <c r="Q14" s="176">
        <f t="shared" si="3"/>
        <v>0</v>
      </c>
      <c r="R14" s="180"/>
      <c r="S14" s="183"/>
      <c r="T14" s="176">
        <f t="shared" si="4"/>
        <v>0</v>
      </c>
      <c r="U14" s="184"/>
      <c r="V14" s="172"/>
      <c r="W14" s="176">
        <f t="shared" si="5"/>
        <v>0</v>
      </c>
      <c r="X14" s="168"/>
      <c r="Y14" s="168"/>
      <c r="Z14" s="176">
        <f t="shared" si="6"/>
        <v>0</v>
      </c>
      <c r="AA14" s="168"/>
      <c r="AB14" s="183"/>
      <c r="AC14" s="176">
        <f t="shared" si="7"/>
        <v>0</v>
      </c>
      <c r="AD14" s="172"/>
      <c r="AE14" s="172"/>
      <c r="AF14" s="176">
        <f t="shared" si="8"/>
        <v>0</v>
      </c>
      <c r="AG14" s="172"/>
      <c r="AH14" s="172"/>
      <c r="AI14" s="176">
        <f t="shared" si="9"/>
        <v>0</v>
      </c>
      <c r="AJ14" s="180"/>
      <c r="AK14" s="183"/>
      <c r="AL14" s="176">
        <f t="shared" si="10"/>
        <v>0</v>
      </c>
      <c r="AM14" s="180"/>
      <c r="AN14" s="172"/>
      <c r="AO14" s="176">
        <f t="shared" si="11"/>
        <v>0</v>
      </c>
      <c r="AP14" s="190">
        <f t="shared" si="12"/>
        <v>0</v>
      </c>
      <c r="AQ14" s="191">
        <f t="shared" si="13"/>
        <v>1</v>
      </c>
      <c r="AR14" s="192">
        <f>AVERAGE(AP14,Semestre1!AM14)</f>
        <v>0</v>
      </c>
      <c r="AS14" s="193"/>
      <c r="AT14" s="193"/>
    </row>
    <row r="15" s="162" customFormat="1" ht="20.25" spans="2:46">
      <c r="B15" s="168"/>
      <c r="C15" s="172" t="s">
        <v>31</v>
      </c>
      <c r="D15" s="172" t="s">
        <v>30</v>
      </c>
      <c r="E15" s="173"/>
      <c r="F15" s="174"/>
      <c r="G15" s="175"/>
      <c r="H15" s="176">
        <f t="shared" si="0"/>
        <v>0</v>
      </c>
      <c r="I15" s="174"/>
      <c r="J15" s="175"/>
      <c r="K15" s="176">
        <f t="shared" si="1"/>
        <v>0</v>
      </c>
      <c r="L15" s="180"/>
      <c r="M15" s="181"/>
      <c r="N15" s="176">
        <f t="shared" si="2"/>
        <v>0</v>
      </c>
      <c r="O15" s="182"/>
      <c r="P15" s="172"/>
      <c r="Q15" s="176">
        <f t="shared" si="3"/>
        <v>0</v>
      </c>
      <c r="R15" s="180"/>
      <c r="S15" s="183"/>
      <c r="T15" s="176">
        <f t="shared" si="4"/>
        <v>0</v>
      </c>
      <c r="U15" s="184"/>
      <c r="V15" s="172"/>
      <c r="W15" s="176">
        <f t="shared" si="5"/>
        <v>0</v>
      </c>
      <c r="X15" s="168"/>
      <c r="Y15" s="168"/>
      <c r="Z15" s="176">
        <f t="shared" si="6"/>
        <v>0</v>
      </c>
      <c r="AA15" s="168"/>
      <c r="AB15" s="183"/>
      <c r="AC15" s="176">
        <f t="shared" si="7"/>
        <v>0</v>
      </c>
      <c r="AD15" s="172"/>
      <c r="AE15" s="172"/>
      <c r="AF15" s="176">
        <f t="shared" si="8"/>
        <v>0</v>
      </c>
      <c r="AG15" s="172"/>
      <c r="AH15" s="172"/>
      <c r="AI15" s="176">
        <f t="shared" si="9"/>
        <v>0</v>
      </c>
      <c r="AJ15" s="180"/>
      <c r="AK15" s="183"/>
      <c r="AL15" s="176">
        <f t="shared" si="10"/>
        <v>0</v>
      </c>
      <c r="AM15" s="180"/>
      <c r="AN15" s="172"/>
      <c r="AO15" s="176">
        <f t="shared" si="11"/>
        <v>0</v>
      </c>
      <c r="AP15" s="190">
        <f t="shared" si="12"/>
        <v>0</v>
      </c>
      <c r="AQ15" s="191">
        <f t="shared" si="13"/>
        <v>1</v>
      </c>
      <c r="AR15" s="192">
        <f>AVERAGE(AP15,Semestre1!AM15)</f>
        <v>0</v>
      </c>
      <c r="AS15" s="194"/>
      <c r="AT15" s="194"/>
    </row>
    <row r="16" spans="2:44">
      <c r="B16" s="177"/>
      <c r="C16" s="172" t="s">
        <v>37</v>
      </c>
      <c r="D16" s="172" t="s">
        <v>30</v>
      </c>
      <c r="E16" s="177"/>
      <c r="F16" s="174"/>
      <c r="G16" s="175"/>
      <c r="H16" s="176">
        <f t="shared" si="0"/>
        <v>0</v>
      </c>
      <c r="I16" s="174"/>
      <c r="J16" s="175"/>
      <c r="K16" s="176">
        <f t="shared" si="1"/>
        <v>0</v>
      </c>
      <c r="L16" s="180"/>
      <c r="M16" s="177"/>
      <c r="N16" s="176">
        <f t="shared" si="2"/>
        <v>0</v>
      </c>
      <c r="O16" s="182"/>
      <c r="P16" s="177"/>
      <c r="Q16" s="176">
        <f t="shared" si="3"/>
        <v>0</v>
      </c>
      <c r="R16" s="180"/>
      <c r="S16" s="177"/>
      <c r="T16" s="176">
        <f t="shared" si="4"/>
        <v>0</v>
      </c>
      <c r="U16" s="184"/>
      <c r="V16" s="177"/>
      <c r="W16" s="176">
        <f t="shared" si="5"/>
        <v>0</v>
      </c>
      <c r="X16" s="168"/>
      <c r="Y16" s="168"/>
      <c r="Z16" s="176">
        <f t="shared" si="6"/>
        <v>0</v>
      </c>
      <c r="AA16" s="168"/>
      <c r="AB16" s="177"/>
      <c r="AC16" s="176">
        <f t="shared" si="7"/>
        <v>0</v>
      </c>
      <c r="AD16" s="177"/>
      <c r="AE16" s="177"/>
      <c r="AF16" s="176">
        <f t="shared" si="8"/>
        <v>0</v>
      </c>
      <c r="AG16" s="172"/>
      <c r="AH16" s="177"/>
      <c r="AI16" s="176">
        <f t="shared" si="9"/>
        <v>0</v>
      </c>
      <c r="AJ16" s="180"/>
      <c r="AK16" s="177"/>
      <c r="AL16" s="176">
        <f t="shared" si="10"/>
        <v>0</v>
      </c>
      <c r="AM16" s="180"/>
      <c r="AN16" s="177"/>
      <c r="AO16" s="176">
        <f t="shared" si="11"/>
        <v>0</v>
      </c>
      <c r="AP16" s="190">
        <f t="shared" si="12"/>
        <v>0</v>
      </c>
      <c r="AQ16" s="191">
        <f t="shared" si="13"/>
        <v>1</v>
      </c>
      <c r="AR16" s="192">
        <f>AVERAGE(AP16,Semestre1!AM16)</f>
        <v>0</v>
      </c>
    </row>
    <row r="17" spans="2:44">
      <c r="B17" s="177"/>
      <c r="C17" s="172" t="s">
        <v>47</v>
      </c>
      <c r="D17" s="172" t="s">
        <v>46</v>
      </c>
      <c r="E17" s="177"/>
      <c r="F17" s="174"/>
      <c r="G17" s="175"/>
      <c r="H17" s="176">
        <f t="shared" si="0"/>
        <v>0</v>
      </c>
      <c r="I17" s="174"/>
      <c r="J17" s="175"/>
      <c r="K17" s="176">
        <f t="shared" si="1"/>
        <v>0</v>
      </c>
      <c r="L17" s="180"/>
      <c r="M17" s="177"/>
      <c r="N17" s="176">
        <f t="shared" si="2"/>
        <v>0</v>
      </c>
      <c r="O17" s="182"/>
      <c r="P17" s="177"/>
      <c r="Q17" s="176">
        <f t="shared" si="3"/>
        <v>0</v>
      </c>
      <c r="R17" s="180"/>
      <c r="S17" s="177"/>
      <c r="T17" s="176">
        <f t="shared" si="4"/>
        <v>0</v>
      </c>
      <c r="U17" s="184"/>
      <c r="V17" s="177"/>
      <c r="W17" s="176">
        <f t="shared" si="5"/>
        <v>0</v>
      </c>
      <c r="X17" s="168"/>
      <c r="Y17" s="168"/>
      <c r="Z17" s="176">
        <f t="shared" si="6"/>
        <v>0</v>
      </c>
      <c r="AA17" s="168"/>
      <c r="AB17" s="177"/>
      <c r="AC17" s="176">
        <f t="shared" si="7"/>
        <v>0</v>
      </c>
      <c r="AD17" s="177"/>
      <c r="AE17" s="177"/>
      <c r="AF17" s="176">
        <f t="shared" si="8"/>
        <v>0</v>
      </c>
      <c r="AG17" s="172"/>
      <c r="AH17" s="177"/>
      <c r="AI17" s="176">
        <f t="shared" si="9"/>
        <v>0</v>
      </c>
      <c r="AJ17" s="180"/>
      <c r="AK17" s="177"/>
      <c r="AL17" s="176">
        <f t="shared" si="10"/>
        <v>0</v>
      </c>
      <c r="AM17" s="180"/>
      <c r="AN17" s="177"/>
      <c r="AO17" s="176">
        <f t="shared" si="11"/>
        <v>0</v>
      </c>
      <c r="AP17" s="190">
        <f t="shared" si="12"/>
        <v>0</v>
      </c>
      <c r="AQ17" s="191">
        <f t="shared" si="13"/>
        <v>1</v>
      </c>
      <c r="AR17" s="192">
        <f>AVERAGE(AP17,Semestre1!AM17)</f>
        <v>0</v>
      </c>
    </row>
    <row r="18" spans="2:44">
      <c r="B18" s="177"/>
      <c r="C18" s="172" t="s">
        <v>36</v>
      </c>
      <c r="D18" s="172" t="s">
        <v>28</v>
      </c>
      <c r="E18" s="177"/>
      <c r="F18" s="174"/>
      <c r="G18" s="175"/>
      <c r="H18" s="176">
        <f t="shared" ref="H18:H22" si="14">IF(G18&gt;0,AVERAGE(F18:G18),F18)</f>
        <v>0</v>
      </c>
      <c r="I18" s="174"/>
      <c r="J18" s="175"/>
      <c r="K18" s="176">
        <f t="shared" ref="K18:K22" si="15">IF(J18&gt;0,AVERAGE(I18:J18),I18)</f>
        <v>0</v>
      </c>
      <c r="L18" s="180"/>
      <c r="M18" s="177"/>
      <c r="N18" s="176">
        <f t="shared" ref="N18:N22" si="16">IF(M18&gt;0,AVERAGE(L18:M18),L18)</f>
        <v>0</v>
      </c>
      <c r="O18" s="182"/>
      <c r="P18" s="177"/>
      <c r="Q18" s="176">
        <f t="shared" ref="Q18:Q22" si="17">IF(P18&gt;0,AVERAGE(O18:P18),O18)</f>
        <v>0</v>
      </c>
      <c r="R18" s="180"/>
      <c r="S18" s="177"/>
      <c r="T18" s="176">
        <f t="shared" ref="T18:T22" si="18">IF(S18&gt;0,AVERAGE(R18:S18),R18)</f>
        <v>0</v>
      </c>
      <c r="U18" s="184"/>
      <c r="V18" s="177"/>
      <c r="W18" s="176">
        <f t="shared" ref="W18:W22" si="19">IF(V18&gt;0,AVERAGE(U18:V18),U18)</f>
        <v>0</v>
      </c>
      <c r="X18" s="168"/>
      <c r="Y18" s="168"/>
      <c r="Z18" s="176">
        <f t="shared" ref="Z18:Z22" si="20">IF(Y18&gt;0,AVERAGE(X18:Y18),X18)</f>
        <v>0</v>
      </c>
      <c r="AA18" s="168"/>
      <c r="AB18" s="177"/>
      <c r="AC18" s="176">
        <f t="shared" ref="AC18:AC22" si="21">IF(AB18&gt;0,AVERAGE(AA18:AB18),AA18)</f>
        <v>0</v>
      </c>
      <c r="AD18" s="177"/>
      <c r="AE18" s="177"/>
      <c r="AF18" s="176">
        <f t="shared" ref="AF18:AF22" si="22">IF(AE18&gt;0,AVERAGE(AD18:AE18),AD18)</f>
        <v>0</v>
      </c>
      <c r="AG18" s="172"/>
      <c r="AH18" s="177"/>
      <c r="AI18" s="176">
        <f t="shared" ref="AI18:AI22" si="23">IF(AH18&gt;0,AVERAGE(AG18:AH18),AG18)</f>
        <v>0</v>
      </c>
      <c r="AJ18" s="180"/>
      <c r="AK18" s="177"/>
      <c r="AL18" s="176">
        <f t="shared" ref="AL18:AL22" si="24">IF(AK18&gt;0,AVERAGE(AJ18:AK18),AJ18)</f>
        <v>0</v>
      </c>
      <c r="AM18" s="180"/>
      <c r="AN18" s="177"/>
      <c r="AO18" s="176">
        <f t="shared" ref="AO18:AO22" si="25">IF(AN18&gt;0,AVERAGE(AM18:AN18),AM18)</f>
        <v>0</v>
      </c>
      <c r="AP18" s="190">
        <f t="shared" ref="AP18:AP22" si="26">SUMPRODUCT(F18:AO18,$F$3:$AO$3)/SUM($F$3:$AO$3)</f>
        <v>0</v>
      </c>
      <c r="AQ18" s="191">
        <f t="shared" si="13"/>
        <v>1</v>
      </c>
      <c r="AR18" s="192">
        <f>AVERAGE(AP18,Semestre1!AM18)</f>
        <v>0</v>
      </c>
    </row>
    <row r="19" spans="2:44">
      <c r="B19" s="177"/>
      <c r="C19" s="172" t="s">
        <v>40</v>
      </c>
      <c r="D19" s="172" t="s">
        <v>28</v>
      </c>
      <c r="E19" s="177"/>
      <c r="F19" s="174"/>
      <c r="G19" s="175"/>
      <c r="H19" s="176">
        <f t="shared" si="14"/>
        <v>0</v>
      </c>
      <c r="I19" s="174"/>
      <c r="J19" s="175"/>
      <c r="K19" s="176">
        <f t="shared" si="15"/>
        <v>0</v>
      </c>
      <c r="L19" s="180"/>
      <c r="M19" s="177"/>
      <c r="N19" s="176">
        <f t="shared" si="16"/>
        <v>0</v>
      </c>
      <c r="O19" s="182"/>
      <c r="P19" s="177"/>
      <c r="Q19" s="176">
        <f t="shared" si="17"/>
        <v>0</v>
      </c>
      <c r="R19" s="180"/>
      <c r="S19" s="177"/>
      <c r="T19" s="176">
        <f t="shared" si="18"/>
        <v>0</v>
      </c>
      <c r="U19" s="184"/>
      <c r="V19" s="177"/>
      <c r="W19" s="176">
        <f t="shared" si="19"/>
        <v>0</v>
      </c>
      <c r="X19" s="168"/>
      <c r="Y19" s="168"/>
      <c r="Z19" s="176">
        <f t="shared" si="20"/>
        <v>0</v>
      </c>
      <c r="AA19" s="168"/>
      <c r="AB19" s="177"/>
      <c r="AC19" s="176">
        <f t="shared" si="21"/>
        <v>0</v>
      </c>
      <c r="AD19" s="177"/>
      <c r="AE19" s="177"/>
      <c r="AF19" s="176">
        <f t="shared" si="22"/>
        <v>0</v>
      </c>
      <c r="AG19" s="172"/>
      <c r="AH19" s="177"/>
      <c r="AI19" s="176">
        <f t="shared" si="23"/>
        <v>0</v>
      </c>
      <c r="AJ19" s="180"/>
      <c r="AK19" s="177"/>
      <c r="AL19" s="176">
        <f t="shared" si="24"/>
        <v>0</v>
      </c>
      <c r="AM19" s="180"/>
      <c r="AN19" s="177"/>
      <c r="AO19" s="176">
        <f t="shared" si="25"/>
        <v>0</v>
      </c>
      <c r="AP19" s="190">
        <f t="shared" si="26"/>
        <v>0</v>
      </c>
      <c r="AQ19" s="191">
        <f t="shared" si="13"/>
        <v>1</v>
      </c>
      <c r="AR19" s="192">
        <f>AVERAGE(AP19,Semestre1!AM19)</f>
        <v>0</v>
      </c>
    </row>
    <row r="20" spans="2:44">
      <c r="B20" s="168"/>
      <c r="C20" s="172" t="s">
        <v>34</v>
      </c>
      <c r="D20" s="172" t="s">
        <v>35</v>
      </c>
      <c r="E20" s="173"/>
      <c r="F20" s="174"/>
      <c r="G20" s="175"/>
      <c r="H20" s="176">
        <f t="shared" si="14"/>
        <v>0</v>
      </c>
      <c r="I20" s="174"/>
      <c r="J20" s="175"/>
      <c r="K20" s="176">
        <f t="shared" si="15"/>
        <v>0</v>
      </c>
      <c r="L20" s="180"/>
      <c r="M20" s="177"/>
      <c r="N20" s="176">
        <f t="shared" si="16"/>
        <v>0</v>
      </c>
      <c r="O20" s="182"/>
      <c r="P20" s="177"/>
      <c r="Q20" s="176">
        <f t="shared" si="17"/>
        <v>0</v>
      </c>
      <c r="R20" s="180"/>
      <c r="S20" s="177"/>
      <c r="T20" s="176">
        <f t="shared" si="18"/>
        <v>0</v>
      </c>
      <c r="U20" s="184"/>
      <c r="V20" s="177"/>
      <c r="W20" s="176">
        <f t="shared" si="19"/>
        <v>0</v>
      </c>
      <c r="X20" s="168"/>
      <c r="Y20" s="168"/>
      <c r="Z20" s="176">
        <f t="shared" si="20"/>
        <v>0</v>
      </c>
      <c r="AA20" s="168"/>
      <c r="AB20" s="177"/>
      <c r="AC20" s="176">
        <f t="shared" si="21"/>
        <v>0</v>
      </c>
      <c r="AD20" s="177"/>
      <c r="AE20" s="177"/>
      <c r="AF20" s="176">
        <f t="shared" si="22"/>
        <v>0</v>
      </c>
      <c r="AG20" s="172"/>
      <c r="AH20" s="177"/>
      <c r="AI20" s="176">
        <f t="shared" si="23"/>
        <v>0</v>
      </c>
      <c r="AJ20" s="180"/>
      <c r="AK20" s="177"/>
      <c r="AL20" s="176">
        <f t="shared" si="24"/>
        <v>0</v>
      </c>
      <c r="AM20" s="180"/>
      <c r="AN20" s="177"/>
      <c r="AO20" s="176">
        <f t="shared" si="25"/>
        <v>0</v>
      </c>
      <c r="AP20" s="190">
        <f t="shared" si="26"/>
        <v>0</v>
      </c>
      <c r="AQ20" s="191">
        <f t="shared" si="13"/>
        <v>1</v>
      </c>
      <c r="AR20" s="192">
        <f>AVERAGE(AP20,Semestre1!AM20)</f>
        <v>0</v>
      </c>
    </row>
    <row r="21" spans="2:44">
      <c r="B21" s="168"/>
      <c r="C21" s="172" t="s">
        <v>27</v>
      </c>
      <c r="D21" s="172" t="s">
        <v>28</v>
      </c>
      <c r="E21" s="173"/>
      <c r="F21" s="174"/>
      <c r="G21" s="175"/>
      <c r="H21" s="176">
        <f t="shared" si="14"/>
        <v>0</v>
      </c>
      <c r="I21" s="174"/>
      <c r="J21" s="175"/>
      <c r="K21" s="176">
        <f t="shared" si="15"/>
        <v>0</v>
      </c>
      <c r="L21" s="180"/>
      <c r="M21" s="177"/>
      <c r="N21" s="176">
        <f t="shared" si="16"/>
        <v>0</v>
      </c>
      <c r="O21" s="182"/>
      <c r="P21" s="177"/>
      <c r="Q21" s="176">
        <f t="shared" si="17"/>
        <v>0</v>
      </c>
      <c r="R21" s="180"/>
      <c r="S21" s="177"/>
      <c r="T21" s="176">
        <f t="shared" si="18"/>
        <v>0</v>
      </c>
      <c r="U21" s="184"/>
      <c r="V21" s="177"/>
      <c r="W21" s="176">
        <f t="shared" si="19"/>
        <v>0</v>
      </c>
      <c r="X21" s="168"/>
      <c r="Y21" s="168"/>
      <c r="Z21" s="176">
        <f t="shared" si="20"/>
        <v>0</v>
      </c>
      <c r="AA21" s="168"/>
      <c r="AB21" s="177"/>
      <c r="AC21" s="176">
        <f t="shared" si="21"/>
        <v>0</v>
      </c>
      <c r="AD21" s="177"/>
      <c r="AE21" s="177"/>
      <c r="AF21" s="176">
        <f t="shared" si="22"/>
        <v>0</v>
      </c>
      <c r="AG21" s="172"/>
      <c r="AH21" s="177"/>
      <c r="AI21" s="176">
        <f t="shared" si="23"/>
        <v>0</v>
      </c>
      <c r="AJ21" s="180"/>
      <c r="AK21" s="177"/>
      <c r="AL21" s="176">
        <f t="shared" si="24"/>
        <v>0</v>
      </c>
      <c r="AM21" s="180"/>
      <c r="AN21" s="177"/>
      <c r="AO21" s="176">
        <f t="shared" si="25"/>
        <v>0</v>
      </c>
      <c r="AP21" s="190">
        <f t="shared" si="26"/>
        <v>0</v>
      </c>
      <c r="AQ21" s="191">
        <f t="shared" si="13"/>
        <v>1</v>
      </c>
      <c r="AR21" s="192">
        <f>AVERAGE(AP21,Semestre1!AM21)</f>
        <v>0</v>
      </c>
    </row>
    <row r="22" spans="2:44">
      <c r="B22" s="177"/>
      <c r="C22" s="172" t="s">
        <v>48</v>
      </c>
      <c r="D22" s="172" t="s">
        <v>49</v>
      </c>
      <c r="E22" s="177"/>
      <c r="F22" s="174"/>
      <c r="G22" s="175"/>
      <c r="H22" s="176">
        <f t="shared" si="14"/>
        <v>0</v>
      </c>
      <c r="I22" s="174"/>
      <c r="J22" s="175"/>
      <c r="K22" s="176">
        <f t="shared" si="15"/>
        <v>0</v>
      </c>
      <c r="L22" s="180"/>
      <c r="M22" s="177"/>
      <c r="N22" s="176">
        <f t="shared" si="16"/>
        <v>0</v>
      </c>
      <c r="O22" s="182"/>
      <c r="P22" s="177"/>
      <c r="Q22" s="176">
        <f t="shared" si="17"/>
        <v>0</v>
      </c>
      <c r="R22" s="180"/>
      <c r="S22" s="177"/>
      <c r="T22" s="176">
        <f t="shared" si="18"/>
        <v>0</v>
      </c>
      <c r="U22" s="184"/>
      <c r="V22" s="177"/>
      <c r="W22" s="176">
        <f t="shared" si="19"/>
        <v>0</v>
      </c>
      <c r="X22" s="168"/>
      <c r="Y22" s="168"/>
      <c r="Z22" s="176">
        <f t="shared" si="20"/>
        <v>0</v>
      </c>
      <c r="AA22" s="168"/>
      <c r="AB22" s="177"/>
      <c r="AC22" s="176">
        <f t="shared" si="21"/>
        <v>0</v>
      </c>
      <c r="AD22" s="177"/>
      <c r="AE22" s="177"/>
      <c r="AF22" s="176">
        <f t="shared" si="22"/>
        <v>0</v>
      </c>
      <c r="AG22" s="172"/>
      <c r="AH22" s="177"/>
      <c r="AI22" s="176">
        <f t="shared" si="23"/>
        <v>0</v>
      </c>
      <c r="AJ22" s="180"/>
      <c r="AK22" s="177"/>
      <c r="AL22" s="176">
        <f t="shared" si="24"/>
        <v>0</v>
      </c>
      <c r="AM22" s="180"/>
      <c r="AN22" s="177"/>
      <c r="AO22" s="176">
        <f t="shared" si="25"/>
        <v>0</v>
      </c>
      <c r="AP22" s="190">
        <f t="shared" si="26"/>
        <v>0</v>
      </c>
      <c r="AQ22" s="191">
        <f t="shared" si="13"/>
        <v>1</v>
      </c>
      <c r="AR22" s="192">
        <f>AVERAGE(AP22,Semestre1!AM22)</f>
        <v>0</v>
      </c>
    </row>
    <row r="23" customFormat="1" ht="15"/>
    <row r="24" customFormat="1" ht="15"/>
    <row r="25" spans="5:44"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5:44"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5:44"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</sheetData>
  <sortState ref="B5:AR22">
    <sortCondition ref="AQ5:AQ22"/>
  </sortState>
  <mergeCells count="18">
    <mergeCell ref="A1:E1"/>
    <mergeCell ref="F1:N1"/>
    <mergeCell ref="O1:T1"/>
    <mergeCell ref="U1:AC1"/>
    <mergeCell ref="AD1:AI1"/>
    <mergeCell ref="AJ1:AO1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  <mergeCell ref="AJ2:AL2"/>
    <mergeCell ref="AM2:AO2"/>
  </mergeCells>
  <conditionalFormatting sqref="I4">
    <cfRule type="expression" dxfId="0" priority="45">
      <formula>N$4=_xleta.Moyenne</formula>
    </cfRule>
  </conditionalFormatting>
  <conditionalFormatting sqref="J4">
    <cfRule type="expression" dxfId="0" priority="46">
      <formula>W$4=_xleta.Moyenne</formula>
    </cfRule>
  </conditionalFormatting>
  <conditionalFormatting sqref="K4">
    <cfRule type="expression" dxfId="0" priority="56">
      <formula>W$4=_xleta.Moyenne</formula>
    </cfRule>
  </conditionalFormatting>
  <conditionalFormatting sqref="M4">
    <cfRule type="expression" dxfId="0" priority="44">
      <formula>AI$4=_xleta.Moyenne</formula>
    </cfRule>
  </conditionalFormatting>
  <conditionalFormatting sqref="P4">
    <cfRule type="expression" dxfId="0" priority="41">
      <formula>AL$4=_xleta.Moyenne</formula>
    </cfRule>
  </conditionalFormatting>
  <conditionalFormatting sqref="R4">
    <cfRule type="expression" dxfId="0" priority="37">
      <formula>AF$4=_xleta.Moyenne</formula>
    </cfRule>
  </conditionalFormatting>
  <conditionalFormatting sqref="S4">
    <cfRule type="expression" dxfId="0" priority="38">
      <formula>AO$4=_xleta.Moyenne</formula>
    </cfRule>
  </conditionalFormatting>
  <conditionalFormatting sqref="T4">
    <cfRule type="expression" dxfId="0" priority="39">
      <formula>AO$4=_xleta.Moyenne</formula>
    </cfRule>
  </conditionalFormatting>
  <conditionalFormatting sqref="W4">
    <cfRule type="expression" dxfId="0" priority="186">
      <formula>AQ$4=_xleta.Moyenne</formula>
    </cfRule>
  </conditionalFormatting>
  <conditionalFormatting sqref="X4">
    <cfRule type="expression" dxfId="0" priority="9">
      <formula>AI$4=_xleta.Moyenne</formula>
    </cfRule>
  </conditionalFormatting>
  <conditionalFormatting sqref="Y4">
    <cfRule type="expression" dxfId="0" priority="11">
      <formula>AQ$4=_xleta.Moyenne</formula>
    </cfRule>
  </conditionalFormatting>
  <conditionalFormatting sqref="Z4">
    <cfRule type="expression" dxfId="0" priority="12">
      <formula>AQ$4=_xleta.Moyenne</formula>
    </cfRule>
  </conditionalFormatting>
  <conditionalFormatting sqref="AP4">
    <cfRule type="expression" dxfId="0" priority="60">
      <formula>#REF!=_xleta.Moyenne</formula>
    </cfRule>
  </conditionalFormatting>
  <conditionalFormatting sqref="F13:G13">
    <cfRule type="expression" dxfId="0" priority="6">
      <formula>M$4=_xleta.Moyenne</formula>
    </cfRule>
  </conditionalFormatting>
  <conditionalFormatting sqref="I13:J13">
    <cfRule type="expression" dxfId="0" priority="4">
      <formula>S$4=_xleta.Moyenne</formula>
    </cfRule>
  </conditionalFormatting>
  <conditionalFormatting sqref="F15:F22">
    <cfRule type="expression" dxfId="0" priority="25">
      <formula>I$4=_xleta.Moyenne</formula>
    </cfRule>
  </conditionalFormatting>
  <conditionalFormatting sqref="H4:H14">
    <cfRule type="expression" dxfId="0" priority="53">
      <formula>N$4=_xleta.Moyenne</formula>
    </cfRule>
  </conditionalFormatting>
  <conditionalFormatting sqref="H15:H22">
    <cfRule type="expression" dxfId="0" priority="24">
      <formula>N$4=_xleta.Moyenne</formula>
    </cfRule>
  </conditionalFormatting>
  <conditionalFormatting sqref="K5:K14">
    <cfRule type="expression" dxfId="0" priority="35">
      <formula>Q$4=_xleta.Moyenne</formula>
    </cfRule>
  </conditionalFormatting>
  <conditionalFormatting sqref="K15:K22">
    <cfRule type="expression" dxfId="0" priority="23">
      <formula>Q$4=_xleta.Moyenne</formula>
    </cfRule>
  </conditionalFormatting>
  <conditionalFormatting sqref="N5:N14">
    <cfRule type="expression" dxfId="0" priority="34">
      <formula>T$4=_xleta.Moyenne</formula>
    </cfRule>
  </conditionalFormatting>
  <conditionalFormatting sqref="N15:N22">
    <cfRule type="expression" dxfId="0" priority="22">
      <formula>T$4=_xleta.Moyenne</formula>
    </cfRule>
  </conditionalFormatting>
  <conditionalFormatting sqref="P5:P14">
    <cfRule type="expression" dxfId="0" priority="55">
      <formula>W$4=_xleta.Moyenne</formula>
    </cfRule>
  </conditionalFormatting>
  <conditionalFormatting sqref="Q5:Q14">
    <cfRule type="expression" dxfId="0" priority="33">
      <formula>W$4=_xleta.Moyenne</formula>
    </cfRule>
  </conditionalFormatting>
  <conditionalFormatting sqref="Q15:Q22">
    <cfRule type="expression" dxfId="0" priority="21">
      <formula>W$4=_xleta.Moyenne</formula>
    </cfRule>
  </conditionalFormatting>
  <conditionalFormatting sqref="T5:T14">
    <cfRule type="expression" dxfId="0" priority="32">
      <formula>AC$4=_xleta.Moyenne</formula>
    </cfRule>
  </conditionalFormatting>
  <conditionalFormatting sqref="T15:T22">
    <cfRule type="expression" dxfId="0" priority="20">
      <formula>AC$4=_xleta.Moyenne</formula>
    </cfRule>
  </conditionalFormatting>
  <conditionalFormatting sqref="U5:U14">
    <cfRule type="expression" dxfId="0" priority="57">
      <formula>AC$4=_xleta.Moyenne</formula>
    </cfRule>
  </conditionalFormatting>
  <conditionalFormatting sqref="W5:W14">
    <cfRule type="expression" dxfId="0" priority="31">
      <formula>AF$4=_xleta.Moyenne</formula>
    </cfRule>
  </conditionalFormatting>
  <conditionalFormatting sqref="W15:W22">
    <cfRule type="expression" dxfId="0" priority="19">
      <formula>AF$4=_xleta.Moyenne</formula>
    </cfRule>
  </conditionalFormatting>
  <conditionalFormatting sqref="Z5:Z14">
    <cfRule type="expression" dxfId="0" priority="8">
      <formula>AF$4=_xleta.Moyenne</formula>
    </cfRule>
  </conditionalFormatting>
  <conditionalFormatting sqref="Z15:Z22">
    <cfRule type="expression" dxfId="0" priority="7">
      <formula>AF$4=_xleta.Moyenne</formula>
    </cfRule>
  </conditionalFormatting>
  <conditionalFormatting sqref="AC5:AC14">
    <cfRule type="expression" dxfId="0" priority="30">
      <formula>AI$4=_xleta.Moyenne</formula>
    </cfRule>
  </conditionalFormatting>
  <conditionalFormatting sqref="AC15:AC22">
    <cfRule type="expression" dxfId="0" priority="18">
      <formula>AI$4=_xleta.Moyenne</formula>
    </cfRule>
  </conditionalFormatting>
  <conditionalFormatting sqref="AF5:AF14">
    <cfRule type="expression" dxfId="0" priority="29">
      <formula>AL$4=_xleta.Moyenne</formula>
    </cfRule>
  </conditionalFormatting>
  <conditionalFormatting sqref="AF15:AF22">
    <cfRule type="expression" dxfId="0" priority="17">
      <formula>AL$4=_xleta.Moyenne</formula>
    </cfRule>
  </conditionalFormatting>
  <conditionalFormatting sqref="AG16:AG22">
    <cfRule type="expression" dxfId="0" priority="2">
      <formula>AL$4=_xleta.Moyenne</formula>
    </cfRule>
  </conditionalFormatting>
  <conditionalFormatting sqref="AI5:AI14">
    <cfRule type="expression" dxfId="0" priority="28">
      <formula>AO$4=_xleta.Moyenne</formula>
    </cfRule>
  </conditionalFormatting>
  <conditionalFormatting sqref="AI15:AI22">
    <cfRule type="expression" dxfId="0" priority="16">
      <formula>AO$4=_xleta.Moyenne</formula>
    </cfRule>
  </conditionalFormatting>
  <conditionalFormatting sqref="AJ5:AJ14">
    <cfRule type="expression" dxfId="0" priority="64">
      <formula>#REF!=_xleta.Moyenne</formula>
    </cfRule>
  </conditionalFormatting>
  <conditionalFormatting sqref="AK5:AK14">
    <cfRule type="expression" dxfId="0" priority="63">
      <formula>#REF!=_xleta.Moyenne</formula>
    </cfRule>
  </conditionalFormatting>
  <conditionalFormatting sqref="AL5:AL14">
    <cfRule type="expression" dxfId="0" priority="27">
      <formula>AR$4=_xleta.Moyenne</formula>
    </cfRule>
  </conditionalFormatting>
  <conditionalFormatting sqref="AL15:AL22">
    <cfRule type="expression" dxfId="0" priority="15">
      <formula>AR$4=_xleta.Moyenne</formula>
    </cfRule>
  </conditionalFormatting>
  <conditionalFormatting sqref="AM5:AM14">
    <cfRule type="expression" dxfId="0" priority="62">
      <formula>#REF!=_xleta.Moyenne</formula>
    </cfRule>
  </conditionalFormatting>
  <conditionalFormatting sqref="AN5:AN14">
    <cfRule type="expression" dxfId="0" priority="61">
      <formula>#REF!=_xleta.Moyenne</formula>
    </cfRule>
  </conditionalFormatting>
  <conditionalFormatting sqref="AO5:AO14">
    <cfRule type="expression" dxfId="0" priority="26">
      <formula>AU$4=_xleta.Moyenne</formula>
    </cfRule>
  </conditionalFormatting>
  <conditionalFormatting sqref="AO15:AO22">
    <cfRule type="expression" dxfId="0" priority="14">
      <formula>AU$4=_xleta.Moyenne</formula>
    </cfRule>
  </conditionalFormatting>
  <conditionalFormatting sqref="AP5:AP14">
    <cfRule type="expression" dxfId="0" priority="36">
      <formula>AY$4=_xleta.Moyenne</formula>
    </cfRule>
  </conditionalFormatting>
  <conditionalFormatting sqref="AP15:AP22">
    <cfRule type="expression" dxfId="0" priority="1">
      <formula>AY$4=_xleta.Moyenne</formula>
    </cfRule>
  </conditionalFormatting>
  <conditionalFormatting sqref="X5:Y14">
    <cfRule type="expression" dxfId="0" priority="10">
      <formula>#REF!=_xleta.Moyenne</formula>
    </cfRule>
  </conditionalFormatting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5"/>
  <dimension ref="B1:F58"/>
  <sheetViews>
    <sheetView view="pageBreakPreview" zoomScale="31" zoomScaleNormal="80" topLeftCell="A2" workbookViewId="0">
      <selection activeCell="K52" sqref="K52"/>
    </sheetView>
  </sheetViews>
  <sheetFormatPr defaultColWidth="11" defaultRowHeight="15" outlineLevelCol="5"/>
  <cols>
    <col min="1" max="1" width="18.3142857142857" customWidth="1"/>
    <col min="2" max="2" width="80.2285714285714" customWidth="1"/>
    <col min="3" max="3" width="25.7714285714286" style="102" customWidth="1"/>
    <col min="4" max="4" width="25.5428571428571" style="102" customWidth="1"/>
    <col min="5" max="5" width="22.7714285714286" customWidth="1"/>
    <col min="6" max="6" width="28.7714285714286" customWidth="1"/>
  </cols>
  <sheetData>
    <row r="1" ht="214.5" customHeight="1" spans="2:6">
      <c r="B1" s="103" t="s">
        <v>81</v>
      </c>
      <c r="C1" s="104"/>
      <c r="D1" s="104"/>
      <c r="E1" s="104"/>
      <c r="F1" s="104"/>
    </row>
    <row r="2" ht="30.75" spans="2:6">
      <c r="B2" s="105"/>
      <c r="C2" s="106"/>
      <c r="D2" s="106"/>
      <c r="E2" s="107"/>
      <c r="F2" s="108" t="s">
        <v>82</v>
      </c>
    </row>
    <row r="3" ht="30" spans="2:6">
      <c r="B3" s="109" t="s">
        <v>83</v>
      </c>
      <c r="C3" s="109"/>
      <c r="D3" s="109"/>
      <c r="E3" s="109"/>
      <c r="F3" s="109"/>
    </row>
    <row r="4" ht="30" spans="2:6">
      <c r="B4" s="110"/>
      <c r="C4" s="110"/>
      <c r="D4" s="110"/>
      <c r="E4" s="110"/>
      <c r="F4" s="110"/>
    </row>
    <row r="5" ht="27" spans="2:6">
      <c r="B5" s="111" t="s">
        <v>84</v>
      </c>
      <c r="C5" s="111"/>
      <c r="D5" s="111"/>
      <c r="E5" s="111"/>
      <c r="F5" s="111"/>
    </row>
    <row r="6" ht="27" spans="2:6">
      <c r="B6" s="112" t="s">
        <v>85</v>
      </c>
      <c r="C6" s="112"/>
      <c r="D6" s="112"/>
      <c r="E6" s="112"/>
      <c r="F6" s="112"/>
    </row>
    <row r="8" ht="26.25" spans="2:3">
      <c r="B8" s="113" t="s">
        <v>36</v>
      </c>
      <c r="C8" s="114"/>
    </row>
    <row r="9" ht="21" spans="2:3">
      <c r="B9" s="115" t="s">
        <v>86</v>
      </c>
      <c r="C9" s="116">
        <f>VLOOKUP(B8,Semestre1!$C$4:$E$22,3,0)</f>
        <v>0</v>
      </c>
    </row>
    <row r="10" ht="21" spans="2:3">
      <c r="B10" s="115" t="s">
        <v>87</v>
      </c>
      <c r="C10" s="116" t="str">
        <f>+VLOOKUP(B8,Semestre1!$C$4:$E$22,2,0)</f>
        <v>Senegalaise</v>
      </c>
    </row>
    <row r="11" ht="21" spans="2:3">
      <c r="B11" s="115" t="s">
        <v>88</v>
      </c>
      <c r="C11" s="117" t="s">
        <v>89</v>
      </c>
    </row>
    <row r="12" ht="21" spans="2:3">
      <c r="B12" s="115"/>
      <c r="C12" s="118"/>
    </row>
    <row r="13" ht="26.25" spans="2:6">
      <c r="B13" s="119" t="s">
        <v>90</v>
      </c>
      <c r="C13" s="119"/>
      <c r="D13" s="119"/>
      <c r="E13" s="119"/>
      <c r="F13" s="119"/>
    </row>
    <row r="14" ht="22.95" customHeight="1" spans="2:6">
      <c r="B14" s="120"/>
      <c r="C14" s="121" t="s">
        <v>91</v>
      </c>
      <c r="D14" s="121"/>
      <c r="E14" s="121" t="s">
        <v>92</v>
      </c>
      <c r="F14" s="121" t="s">
        <v>25</v>
      </c>
    </row>
    <row r="15" ht="24.65" customHeight="1" spans="2:6">
      <c r="B15" s="120"/>
      <c r="C15" s="121">
        <v>1</v>
      </c>
      <c r="D15" s="121">
        <v>2</v>
      </c>
      <c r="E15" s="121"/>
      <c r="F15" s="121"/>
    </row>
    <row r="16" ht="22.2" customHeight="1" spans="2:6">
      <c r="B16" s="122" t="s">
        <v>93</v>
      </c>
      <c r="C16" s="123" t="str">
        <f>IF(SUMPRODUCT($E$17:$E$19,$F$17:$F$19)/SUM($E$17:$E$19)&gt;=12,"Validée","Non validée")</f>
        <v>Non validée</v>
      </c>
      <c r="D16" s="123"/>
      <c r="E16" s="123"/>
      <c r="F16" s="124"/>
    </row>
    <row r="17" ht="22.2" customHeight="1" spans="2:6">
      <c r="B17" s="125" t="s">
        <v>7</v>
      </c>
      <c r="C17" s="126">
        <f>SUMIF(Semestre1!$C$5:$C$22,bulletin_ISEP1!$B$8,Semestre1!F$5:F$22)</f>
        <v>0</v>
      </c>
      <c r="D17" s="127">
        <f>SUMIF(Semestre1!$C$5:$C$22,bulletin_ISEP1!$B$8,Semestre1!G$5:G$22)</f>
        <v>0</v>
      </c>
      <c r="E17" s="128">
        <v>4</v>
      </c>
      <c r="F17" s="126">
        <f>IF(D17=0,C17,AVERAGE(C17:D17))</f>
        <v>0</v>
      </c>
    </row>
    <row r="18" ht="22.2" customHeight="1" spans="2:6">
      <c r="B18" s="125" t="s">
        <v>8</v>
      </c>
      <c r="C18" s="127">
        <f>SUMIF(Semestre1!$C$5:$C$22,bulletin_ISEP1!$B$8,Semestre1!I$5:I$22)</f>
        <v>0</v>
      </c>
      <c r="D18" s="126">
        <f>SUMIF(Semestre1!$C$5:$C$22,bulletin_ISEP1!$B$8,Semestre1!J$5:J$22)</f>
        <v>0</v>
      </c>
      <c r="E18" s="128">
        <v>4</v>
      </c>
      <c r="F18" s="126">
        <f>IF(D18=0,C18,AVERAGE(C18:D18))</f>
        <v>0</v>
      </c>
    </row>
    <row r="19" ht="22.2" customHeight="1" spans="2:6">
      <c r="B19" s="125" t="s">
        <v>9</v>
      </c>
      <c r="C19" s="127">
        <f>SUMIF(Semestre1!$C$5:$C$22,bulletin_ISEP1!$B$8,Semestre1!L$5:L$22)</f>
        <v>0</v>
      </c>
      <c r="D19" s="126">
        <f>SUMIF(Semestre1!$C$5:$C$22,bulletin_ISEP1!$B$8,Semestre1!M$5:M$22)</f>
        <v>0</v>
      </c>
      <c r="E19" s="128">
        <v>3</v>
      </c>
      <c r="F19" s="126">
        <f>IF(D19=0,C19,AVERAGE(C19:D19))</f>
        <v>0</v>
      </c>
    </row>
    <row r="20" ht="22.2" customHeight="1" spans="2:6">
      <c r="B20" s="122" t="s">
        <v>94</v>
      </c>
      <c r="C20" s="129" t="str">
        <f>IF(SUMPRODUCT($E$21:$E$22,$F$21:$F$22)/SUM($E$21:$E$22)&gt;=12,"Validée","Non validée")</f>
        <v>Non validée</v>
      </c>
      <c r="D20" s="129"/>
      <c r="E20" s="129"/>
      <c r="F20" s="130"/>
    </row>
    <row r="21" ht="22.2" customHeight="1" spans="2:6">
      <c r="B21" s="125" t="s">
        <v>10</v>
      </c>
      <c r="C21" s="126">
        <f>SUMIF(Semestre1!$C$5:$C$22,bulletin_ISEP1!$B$8,Semestre1!O$5:O$22)</f>
        <v>0</v>
      </c>
      <c r="D21" s="126">
        <f>SUMIF(Semestre1!$C$5:$C$22,bulletin_ISEP1!$B$8,Semestre1!P$5:P$22)</f>
        <v>0</v>
      </c>
      <c r="E21" s="131">
        <v>2.5</v>
      </c>
      <c r="F21" s="126">
        <f>IF(D21=0,C21,AVERAGE(C21:D21))</f>
        <v>0</v>
      </c>
    </row>
    <row r="22" ht="22.2" customHeight="1" spans="2:6">
      <c r="B22" s="125" t="s">
        <v>11</v>
      </c>
      <c r="C22" s="126">
        <f>SUMIF(Semestre1!$C$5:$C$22,bulletin_ISEP1!$B$8,Semestre1!R$5:R$22)</f>
        <v>0</v>
      </c>
      <c r="D22" s="126">
        <f>SUMIF(Semestre1!$C$5:$C$22,bulletin_ISEP1!$B$8,Semestre1!S$5:S$22)</f>
        <v>0</v>
      </c>
      <c r="E22" s="128">
        <v>3.5</v>
      </c>
      <c r="F22" s="126">
        <f>IF(D22=0,C22,AVERAGE(C22:D22))</f>
        <v>0</v>
      </c>
    </row>
    <row r="23" ht="22.2" customHeight="1" spans="2:6">
      <c r="B23" s="122" t="s">
        <v>95</v>
      </c>
      <c r="C23" s="129" t="str">
        <f>IF(SUMPRODUCT($E$24:$E$25,$F$24:$F$25)/SUM($E$24:$E$25)&gt;=12,"Validée","Non validée")</f>
        <v>Non validée</v>
      </c>
      <c r="D23" s="129"/>
      <c r="E23" s="129"/>
      <c r="F23" s="130"/>
    </row>
    <row r="24" ht="22.2" customHeight="1" spans="2:6">
      <c r="B24" s="125" t="s">
        <v>12</v>
      </c>
      <c r="C24" s="126">
        <f>SUMIF(Semestre1!$C$5:$C$22,bulletin_ISEP1!$B$8,Semestre1!U$5:U$22)</f>
        <v>0</v>
      </c>
      <c r="D24" s="126">
        <f>SUMIF(Semestre1!$C$5:$C$22,bulletin_ISEP1!$B$8,Semestre1!V$5:V$22)</f>
        <v>0</v>
      </c>
      <c r="E24" s="131">
        <v>2.5</v>
      </c>
      <c r="F24" s="126">
        <f t="shared" ref="F24:F25" si="0">IF(D24=0,C24,AVERAGE(C24:D24))</f>
        <v>0</v>
      </c>
    </row>
    <row r="25" ht="22.2" customHeight="1" spans="2:6">
      <c r="B25" s="125" t="s">
        <v>13</v>
      </c>
      <c r="C25" s="126">
        <f>SUMIF(Semestre1!$C$5:$C$22,bulletin_ISEP1!$B$8,Semestre1!X$5:X$22)</f>
        <v>0</v>
      </c>
      <c r="D25" s="126">
        <f>SUMIF(Semestre1!$C$5:$C$22,bulletin_ISEP1!$B$8,Semestre1!Y$5:Y$22)</f>
        <v>0</v>
      </c>
      <c r="E25" s="128">
        <v>3</v>
      </c>
      <c r="F25" s="126">
        <f t="shared" si="0"/>
        <v>0</v>
      </c>
    </row>
    <row r="26" ht="22.2" customHeight="1" spans="2:6">
      <c r="B26" s="122" t="s">
        <v>96</v>
      </c>
      <c r="C26" s="129" t="str">
        <f>IF(SUMPRODUCT($E$27:$E$28,$F$27:$F$28)/SUM($E$27:$E$28)&gt;=12,"Validée","Non validée")</f>
        <v>Non validée</v>
      </c>
      <c r="D26" s="129"/>
      <c r="E26" s="129"/>
      <c r="F26" s="130"/>
    </row>
    <row r="27" ht="22.2" customHeight="1" spans="2:6">
      <c r="B27" s="125" t="s">
        <v>14</v>
      </c>
      <c r="C27" s="126">
        <f>SUMIF(Semestre1!$C$5:$C$22,bulletin_ISEP1!$B$8,Semestre1!AA$5:AA$22)</f>
        <v>0</v>
      </c>
      <c r="D27" s="126">
        <f>SUMIF(Semestre1!$C$5:$C$22,bulletin_ISEP1!$B$8,Semestre1!AB$5:AB$22)</f>
        <v>0</v>
      </c>
      <c r="E27" s="131">
        <v>1.5</v>
      </c>
      <c r="F27" s="126">
        <f t="shared" ref="F27:F28" si="1">IF(D27=0,C27,AVERAGE(C27:D27))</f>
        <v>0</v>
      </c>
    </row>
    <row r="28" ht="22.2" customHeight="1" spans="2:6">
      <c r="B28" s="125" t="s">
        <v>15</v>
      </c>
      <c r="C28" s="126">
        <f>SUMIF(Semestre1!$C$5:$C$22,bulletin_ISEP1!$B$8,Semestre1!AD$5:AD$22)</f>
        <v>0</v>
      </c>
      <c r="D28" s="126">
        <f>SUMIF(Semestre1!$C$5:$C$22,bulletin_ISEP1!$B$8,Semestre1!AE$5:AE$22)</f>
        <v>0</v>
      </c>
      <c r="E28" s="128">
        <v>2</v>
      </c>
      <c r="F28" s="126">
        <f t="shared" si="1"/>
        <v>0</v>
      </c>
    </row>
    <row r="29" ht="22.2" customHeight="1" spans="2:6">
      <c r="B29" s="122" t="s">
        <v>97</v>
      </c>
      <c r="C29" s="129" t="str">
        <f>IF(SUMPRODUCT($E$30:$E$31,$F$30:$F$31)/SUM($E$30:$E$31)&gt;=12,"Validée","Non validée")</f>
        <v>Non validée</v>
      </c>
      <c r="D29" s="129"/>
      <c r="E29" s="129"/>
      <c r="F29" s="130"/>
    </row>
    <row r="30" ht="22.2" customHeight="1" spans="2:6">
      <c r="B30" s="125" t="s">
        <v>16</v>
      </c>
      <c r="C30" s="126">
        <f>+SUMIF(Semestre1!$C$5:$C$22,bulletin_ISEP1!$B$8,Semestre1!AG$5:AG$22)</f>
        <v>0</v>
      </c>
      <c r="D30" s="126">
        <f>+SUMIF(Semestre1!$C$5:$C$22,bulletin_ISEP1!$B$8,Semestre1!AH$5:AH$22)</f>
        <v>0</v>
      </c>
      <c r="E30" s="131">
        <v>2</v>
      </c>
      <c r="F30" s="126">
        <f t="shared" ref="F30:F31" si="2">IF(D30=0,C30,AVERAGE(C30:D30))</f>
        <v>0</v>
      </c>
    </row>
    <row r="31" ht="22.2" customHeight="1" spans="2:6">
      <c r="B31" s="125" t="s">
        <v>17</v>
      </c>
      <c r="C31" s="126">
        <f>+SUMIF(Semestre1!$C$5:$C$22,bulletin_ISEP1!$B$8,Semestre1!AJ$5:AJ$22)</f>
        <v>0</v>
      </c>
      <c r="D31" s="126">
        <f>+SUMIF(Semestre1!$C$5:$C$22,bulletin_ISEP1!$B$8,Semestre1!AK$5:AK$22)</f>
        <v>0</v>
      </c>
      <c r="E31" s="128">
        <v>2</v>
      </c>
      <c r="F31" s="126">
        <f t="shared" si="2"/>
        <v>0</v>
      </c>
    </row>
    <row r="32" ht="22.2" customHeight="1" spans="2:6">
      <c r="B32" s="132"/>
      <c r="C32" s="133"/>
      <c r="D32" s="133"/>
      <c r="E32" s="134"/>
      <c r="F32" s="135"/>
    </row>
    <row r="33" ht="22.2" customHeight="1" spans="2:6">
      <c r="B33" s="119" t="s">
        <v>98</v>
      </c>
      <c r="C33" s="119"/>
      <c r="D33" s="119"/>
      <c r="E33" s="119"/>
      <c r="F33" s="119"/>
    </row>
    <row r="34" ht="22.2" customHeight="1" spans="2:6">
      <c r="B34" s="136" t="s">
        <v>99</v>
      </c>
      <c r="C34" s="137" t="str">
        <f>IF(SUMPRODUCT($E$35:$E$37,$F$35:$F$37)/SUM($E$35:$E$37)&gt;=12,"Validée","Non validée")</f>
        <v>Non validée</v>
      </c>
      <c r="D34" s="123"/>
      <c r="E34" s="123"/>
      <c r="F34" s="124"/>
    </row>
    <row r="35" ht="22.2" customHeight="1" spans="2:6">
      <c r="B35" s="125" t="s">
        <v>61</v>
      </c>
      <c r="C35" s="126">
        <f>SUMIF(Semestre2!$C$5:$C$22,bulletin_ISEP1!$B$8,Semestre2!F$5:F$22)</f>
        <v>0</v>
      </c>
      <c r="D35" s="126">
        <f>SUMIF(Semestre2!$C$5:$C$22,bulletin_ISEP1!$B$8,Semestre2!G$5:G$22)</f>
        <v>0</v>
      </c>
      <c r="E35" s="138">
        <v>4</v>
      </c>
      <c r="F35" s="126">
        <f>IF(D35=0,C35,AVERAGE(C35:D35))</f>
        <v>0</v>
      </c>
    </row>
    <row r="36" ht="22.2" customHeight="1" spans="2:6">
      <c r="B36" s="125" t="s">
        <v>62</v>
      </c>
      <c r="C36" s="126">
        <f>SUMIF(Semestre2!$C$5:$C$22,bulletin_ISEP1!$B$8,Semestre2!I$5:I$22)</f>
        <v>0</v>
      </c>
      <c r="D36" s="126">
        <f>SUMIF(Semestre2!$C$5:$C$22,bulletin_ISEP1!$B$8,Semestre2!J$5:J$22)</f>
        <v>0</v>
      </c>
      <c r="E36" s="138">
        <v>4</v>
      </c>
      <c r="F36" s="126">
        <f t="shared" ref="F36:F50" si="3">IF(D36=0,C36,AVERAGE(C36:D36))</f>
        <v>0</v>
      </c>
    </row>
    <row r="37" ht="22.2" customHeight="1" spans="2:6">
      <c r="B37" s="125" t="s">
        <v>63</v>
      </c>
      <c r="C37" s="126">
        <f>SUMIF(Semestre2!$C$5:$C$22,bulletin_ISEP1!$B$8,Semestre2!L$5:L$22)</f>
        <v>0</v>
      </c>
      <c r="D37" s="126">
        <f>SUMIF(Semestre2!$C$5:$C$22,bulletin_ISEP1!$B$8,Semestre2!M$5:M$22)</f>
        <v>0</v>
      </c>
      <c r="E37" s="138">
        <v>3</v>
      </c>
      <c r="F37" s="126">
        <f t="shared" si="3"/>
        <v>0</v>
      </c>
    </row>
    <row r="38" ht="22.2" customHeight="1" spans="2:6">
      <c r="B38" s="139" t="s">
        <v>100</v>
      </c>
      <c r="C38" s="137" t="str">
        <f>IF(SUMPRODUCT($E$39:$E$40,$F$39:$F$40)/SUM($E$39:$E$40)&gt;=12,"Validée","Non validée")</f>
        <v>Non validée</v>
      </c>
      <c r="D38" s="123"/>
      <c r="E38" s="123"/>
      <c r="F38" s="124"/>
    </row>
    <row r="39" ht="22.2" customHeight="1" spans="2:6">
      <c r="B39" s="125" t="s">
        <v>65</v>
      </c>
      <c r="C39" s="126">
        <f>SUMIF(Semestre2!$C$5:$C$22,bulletin_ISEP1!$B$8,Semestre2!O$5:O$22)</f>
        <v>0</v>
      </c>
      <c r="D39" s="126">
        <f>SUMIF(Semestre2!$C$5:$C$22,bulletin_ISEP1!$B$8,Semestre2!P$5:P$22)</f>
        <v>0</v>
      </c>
      <c r="E39" s="138">
        <v>2</v>
      </c>
      <c r="F39" s="126">
        <f t="shared" si="3"/>
        <v>0</v>
      </c>
    </row>
    <row r="40" ht="22.2" customHeight="1" spans="2:6">
      <c r="B40" s="125" t="s">
        <v>66</v>
      </c>
      <c r="C40" s="126">
        <f>SUMIF(Semestre2!$C$5:$C$22,bulletin_ISEP1!$B$8,Semestre2!R$5:R$22)</f>
        <v>0</v>
      </c>
      <c r="D40" s="126">
        <f>SUMIF(Semestre2!$C$5:$C$22,bulletin_ISEP1!$B$8,Semestre2!S$5:S$22)</f>
        <v>0</v>
      </c>
      <c r="E40" s="138">
        <v>3</v>
      </c>
      <c r="F40" s="126">
        <f t="shared" si="3"/>
        <v>0</v>
      </c>
    </row>
    <row r="41" ht="22.2" customHeight="1" spans="2:6">
      <c r="B41" s="139" t="s">
        <v>101</v>
      </c>
      <c r="C41" s="137" t="str">
        <f>IF(SUMPRODUCT($E$42:$E$44,$F$42:$F$44)/SUM($E$42:$E$44)&gt;=12,"Validée","Non validée")</f>
        <v>Non validée</v>
      </c>
      <c r="D41" s="123"/>
      <c r="E41" s="123"/>
      <c r="F41" s="124"/>
    </row>
    <row r="42" ht="22.2" customHeight="1" spans="2:6">
      <c r="B42" s="125" t="s">
        <v>68</v>
      </c>
      <c r="C42" s="126">
        <f>SUMIF(Semestre2!$C$5:$C$22,bulletin_ISEP1!$B$8,Semestre2!U$5:U$22)</f>
        <v>0</v>
      </c>
      <c r="D42" s="126">
        <f>SUMIF(Semestre2!$C$5:$C$22,bulletin_ISEP1!$B$8,Semestre2!V$5:V$22)</f>
        <v>0</v>
      </c>
      <c r="E42" s="138">
        <v>1</v>
      </c>
      <c r="F42" s="126">
        <f t="shared" si="3"/>
        <v>0</v>
      </c>
    </row>
    <row r="43" ht="22.2" customHeight="1" spans="2:6">
      <c r="B43" s="125" t="s">
        <v>69</v>
      </c>
      <c r="C43" s="126">
        <f>SUMIF(Semestre2!$C$5:$C$22,bulletin_ISEP1!$B$8,Semestre2!X$5:X$22)</f>
        <v>0</v>
      </c>
      <c r="D43" s="126">
        <f>SUMIF(Semestre2!$C$5:$C$22,bulletin_ISEP1!$B$8,Semestre2!Y$5:Y$22)</f>
        <v>0</v>
      </c>
      <c r="E43" s="138">
        <v>2</v>
      </c>
      <c r="F43" s="126">
        <f t="shared" si="3"/>
        <v>0</v>
      </c>
    </row>
    <row r="44" ht="22.2" customHeight="1" spans="2:6">
      <c r="B44" s="125" t="s">
        <v>70</v>
      </c>
      <c r="C44" s="126">
        <f>SUMIF(Semestre2!$C$5:$C$22,bulletin_ISEP1!$B$8,Semestre2!AA$5:AA$22)</f>
        <v>0</v>
      </c>
      <c r="D44" s="126">
        <f>SUMIF(Semestre2!$C$5:$C$22,bulletin_ISEP1!$B$8,Semestre2!AB$5:AB$22)</f>
        <v>0</v>
      </c>
      <c r="E44" s="138">
        <v>2</v>
      </c>
      <c r="F44" s="126">
        <f t="shared" si="3"/>
        <v>0</v>
      </c>
    </row>
    <row r="45" ht="22.2" customHeight="1" spans="2:6">
      <c r="B45" s="139" t="s">
        <v>102</v>
      </c>
      <c r="C45" s="137" t="str">
        <f>IF(SUMPRODUCT($E$46:$E$47,$F$46:$F$47)/SUM($E$46:$E$47)&gt;=12,"Validée","Non validée")</f>
        <v>Non validée</v>
      </c>
      <c r="D45" s="123"/>
      <c r="E45" s="123"/>
      <c r="F45" s="124"/>
    </row>
    <row r="46" ht="22.2" customHeight="1" spans="2:6">
      <c r="B46" s="125" t="s">
        <v>103</v>
      </c>
      <c r="C46" s="126">
        <f>SUMIF(Semestre2!$C$5:$C$22,bulletin_ISEP1!$B$8,Semestre2!AD$5:AD$22)</f>
        <v>0</v>
      </c>
      <c r="D46" s="126">
        <f>SUMIF(Semestre2!$C$5:$C$22,bulletin_ISEP1!$B$8,Semestre2!AE$5:AE$22)</f>
        <v>0</v>
      </c>
      <c r="E46" s="138">
        <v>2.5</v>
      </c>
      <c r="F46" s="126">
        <f t="shared" si="3"/>
        <v>0</v>
      </c>
    </row>
    <row r="47" ht="22.2" customHeight="1" spans="2:6">
      <c r="B47" s="125" t="s">
        <v>73</v>
      </c>
      <c r="C47" s="126">
        <f>SUMIF(Semestre2!$C$5:$C$22,bulletin_ISEP1!$B$8,Semestre2!AG$5:AG$22)</f>
        <v>0</v>
      </c>
      <c r="D47" s="126">
        <f>SUMIF(Semestre2!$C$5:$C$22,bulletin_ISEP1!$B$8,Semestre2!AH$5:AH$22)</f>
        <v>0</v>
      </c>
      <c r="E47" s="138">
        <v>2.5</v>
      </c>
      <c r="F47" s="126">
        <f t="shared" si="3"/>
        <v>0</v>
      </c>
    </row>
    <row r="48" ht="22.2" customHeight="1" spans="2:6">
      <c r="B48" s="139" t="s">
        <v>104</v>
      </c>
      <c r="C48" s="137" t="str">
        <f>IF(SUMPRODUCT($E$49:$E$50,$F$49:$F$50)/SUM($E$49:$E$50)&gt;=12,"Validée","Non validée")</f>
        <v>Non validée</v>
      </c>
      <c r="D48" s="123"/>
      <c r="E48" s="123"/>
      <c r="F48" s="124"/>
    </row>
    <row r="49" ht="22.2" customHeight="1" spans="2:6">
      <c r="B49" s="125" t="s">
        <v>16</v>
      </c>
      <c r="C49" s="126">
        <f>+SUMIF(Semestre2!$C$5:$C$22,bulletin_ISEP1!$B$8,Semestre2!AJ$5:AJ$22)</f>
        <v>0</v>
      </c>
      <c r="D49" s="126">
        <f>+SUMIF(Semestre2!$C$5:$C$22,bulletin_ISEP1!$B$8,Semestre2!AK$5:AK$22)</f>
        <v>0</v>
      </c>
      <c r="E49" s="138">
        <v>2</v>
      </c>
      <c r="F49" s="126">
        <f t="shared" si="3"/>
        <v>0</v>
      </c>
    </row>
    <row r="50" ht="22.2" customHeight="1" spans="2:6">
      <c r="B50" s="125" t="s">
        <v>17</v>
      </c>
      <c r="C50" s="126">
        <f>+SUMIF(Semestre2!$C$5:$C$22,bulletin_ISEP1!$B$8,Semestre2!AM$5:AM$22)</f>
        <v>0</v>
      </c>
      <c r="D50" s="126">
        <f>+SUMIF(Semestre2!$C$5:$C$22,bulletin_ISEP1!$B$8,Semestre2!AN$5:AN$22)</f>
        <v>0</v>
      </c>
      <c r="E50" s="138">
        <v>2</v>
      </c>
      <c r="F50" s="126">
        <f t="shared" si="3"/>
        <v>0</v>
      </c>
    </row>
    <row r="51" ht="22.2" customHeight="1" spans="2:6">
      <c r="B51" s="140" t="s">
        <v>105</v>
      </c>
      <c r="C51" s="141"/>
      <c r="D51" s="142"/>
      <c r="E51" s="143"/>
      <c r="F51" s="144">
        <v>0</v>
      </c>
    </row>
    <row r="52" ht="28.2" customHeight="1" spans="2:6">
      <c r="B52" s="145" t="s">
        <v>106</v>
      </c>
      <c r="C52" s="146"/>
      <c r="D52" s="147"/>
      <c r="E52" s="148"/>
      <c r="F52" s="149">
        <f>+SUMIF(Semestre2!$C$5:$C$22,$B$8,Semestre2!AR$5:AR$22)-$F$51</f>
        <v>0</v>
      </c>
    </row>
    <row r="53" ht="28.2" customHeight="1" spans="2:6">
      <c r="B53" s="150" t="s">
        <v>107</v>
      </c>
      <c r="C53" s="151">
        <f>+SUMIF(Semestre2!$C$5:$C$22,bulletin_ISEP1!$B$8,Semestre2!AQ$5:AQ$22)</f>
        <v>1</v>
      </c>
      <c r="D53" s="152" t="s">
        <v>108</v>
      </c>
      <c r="E53" s="153"/>
      <c r="F53" s="153"/>
    </row>
    <row r="54" ht="28.2" customHeight="1" spans="2:6">
      <c r="B54" s="150" t="s">
        <v>109</v>
      </c>
      <c r="C54" s="154" t="str">
        <f>+IF(F52&gt;12,"Admis en deuxième année ISEP","Autorisé à redoubler")</f>
        <v>Autorisé à redoubler</v>
      </c>
      <c r="D54" s="154"/>
      <c r="E54" s="154"/>
      <c r="F54" s="153"/>
    </row>
    <row r="55" ht="23.25" spans="2:6">
      <c r="B55" s="155" t="s">
        <v>110</v>
      </c>
      <c r="C55" s="156">
        <v>0</v>
      </c>
      <c r="D55" s="153"/>
      <c r="E55" s="153"/>
      <c r="F55" s="153"/>
    </row>
    <row r="56" ht="28.2" customHeight="1" spans="2:6">
      <c r="B56" s="157"/>
      <c r="C56" s="158"/>
      <c r="D56" s="159" t="s">
        <v>111</v>
      </c>
      <c r="E56" s="160" t="str">
        <f ca="1">TEXT(TODAY(),"jj mmmm aaaa")</f>
        <v>jj November Saturday</v>
      </c>
      <c r="F56" s="115"/>
    </row>
    <row r="57" ht="28.2" customHeight="1" spans="2:6">
      <c r="B57" s="157"/>
      <c r="C57" s="158"/>
      <c r="D57" s="159"/>
      <c r="E57" s="157"/>
      <c r="F57" s="157"/>
    </row>
    <row r="58" ht="88.2" customHeight="1"/>
  </sheetData>
  <mergeCells count="23">
    <mergeCell ref="B1:F1"/>
    <mergeCell ref="B3:F3"/>
    <mergeCell ref="B5:F5"/>
    <mergeCell ref="B6:F6"/>
    <mergeCell ref="B13:F13"/>
    <mergeCell ref="C14:D14"/>
    <mergeCell ref="C16:F16"/>
    <mergeCell ref="C20:F20"/>
    <mergeCell ref="C23:F23"/>
    <mergeCell ref="C26:F26"/>
    <mergeCell ref="C29:F29"/>
    <mergeCell ref="B33:F33"/>
    <mergeCell ref="C34:F34"/>
    <mergeCell ref="C38:F38"/>
    <mergeCell ref="C41:F41"/>
    <mergeCell ref="C45:F45"/>
    <mergeCell ref="C48:F48"/>
    <mergeCell ref="C51:E51"/>
    <mergeCell ref="C52:E52"/>
    <mergeCell ref="C54:E54"/>
    <mergeCell ref="B14:B15"/>
    <mergeCell ref="E14:E15"/>
    <mergeCell ref="F14:F15"/>
  </mergeCells>
  <conditionalFormatting sqref="C14">
    <cfRule type="expression" dxfId="0" priority="26">
      <formula>M$4=_xleta.Moyenne</formula>
    </cfRule>
  </conditionalFormatting>
  <conditionalFormatting sqref="C17">
    <cfRule type="expression" dxfId="1" priority="25">
      <formula>ISBLANK(C17)</formula>
    </cfRule>
  </conditionalFormatting>
  <conditionalFormatting sqref="C21:C22">
    <cfRule type="expression" dxfId="1" priority="22">
      <formula>ISBLANK(C21)</formula>
    </cfRule>
  </conditionalFormatting>
  <conditionalFormatting sqref="C24:C25">
    <cfRule type="expression" dxfId="1" priority="19">
      <formula>ISBLANK(C24)</formula>
    </cfRule>
  </conditionalFormatting>
  <conditionalFormatting sqref="C27:C28">
    <cfRule type="expression" dxfId="1" priority="16">
      <formula>ISBLANK(C27)</formula>
    </cfRule>
  </conditionalFormatting>
  <conditionalFormatting sqref="D18:D19">
    <cfRule type="expression" dxfId="1" priority="24">
      <formula>ISBLANK(D18)</formula>
    </cfRule>
  </conditionalFormatting>
  <conditionalFormatting sqref="D21:D22">
    <cfRule type="expression" dxfId="1" priority="21">
      <formula>ISBLANK(D21)</formula>
    </cfRule>
  </conditionalFormatting>
  <conditionalFormatting sqref="D24:D25">
    <cfRule type="expression" dxfId="1" priority="18">
      <formula>ISBLANK(D24)</formula>
    </cfRule>
  </conditionalFormatting>
  <conditionalFormatting sqref="D27:D28">
    <cfRule type="expression" dxfId="1" priority="15">
      <formula>ISBLANK(D27)</formula>
    </cfRule>
  </conditionalFormatting>
  <conditionalFormatting sqref="F17:F19">
    <cfRule type="expression" dxfId="1" priority="23">
      <formula>ISBLANK(F17)</formula>
    </cfRule>
  </conditionalFormatting>
  <conditionalFormatting sqref="F21:F22">
    <cfRule type="expression" dxfId="1" priority="20">
      <formula>ISBLANK(F21)</formula>
    </cfRule>
  </conditionalFormatting>
  <conditionalFormatting sqref="F24:F25">
    <cfRule type="expression" dxfId="1" priority="17">
      <formula>ISBLANK(F24)</formula>
    </cfRule>
  </conditionalFormatting>
  <conditionalFormatting sqref="F27:F28">
    <cfRule type="expression" dxfId="1" priority="14">
      <formula>ISBLANK(F27)</formula>
    </cfRule>
  </conditionalFormatting>
  <conditionalFormatting sqref="F30:F31">
    <cfRule type="expression" dxfId="1" priority="12">
      <formula>ISBLANK(F30)</formula>
    </cfRule>
  </conditionalFormatting>
  <conditionalFormatting sqref="F35:F37">
    <cfRule type="expression" dxfId="1" priority="5">
      <formula>ISBLANK(F35)</formula>
    </cfRule>
  </conditionalFormatting>
  <conditionalFormatting sqref="F39:F40">
    <cfRule type="expression" dxfId="1" priority="4">
      <formula>ISBLANK(F39)</formula>
    </cfRule>
  </conditionalFormatting>
  <conditionalFormatting sqref="F42:F44">
    <cfRule type="expression" dxfId="1" priority="3">
      <formula>ISBLANK(F42)</formula>
    </cfRule>
  </conditionalFormatting>
  <conditionalFormatting sqref="F46:F47">
    <cfRule type="expression" dxfId="1" priority="2">
      <formula>ISBLANK(F46)</formula>
    </cfRule>
  </conditionalFormatting>
  <conditionalFormatting sqref="F49:F51">
    <cfRule type="expression" dxfId="1" priority="1">
      <formula>ISBLANK(F49)</formula>
    </cfRule>
  </conditionalFormatting>
  <conditionalFormatting sqref="C30:D31">
    <cfRule type="expression" dxfId="1" priority="13">
      <formula>ISBLANK(C30)</formula>
    </cfRule>
  </conditionalFormatting>
  <conditionalFormatting sqref="C35:D37">
    <cfRule type="expression" dxfId="1" priority="11">
      <formula>ISBLANK(C35)</formula>
    </cfRule>
  </conditionalFormatting>
  <conditionalFormatting sqref="C39:D40">
    <cfRule type="expression" dxfId="1" priority="9">
      <formula>ISBLANK(C39)</formula>
    </cfRule>
  </conditionalFormatting>
  <conditionalFormatting sqref="C42:D44">
    <cfRule type="expression" dxfId="1" priority="8">
      <formula>ISBLANK(C42)</formula>
    </cfRule>
  </conditionalFormatting>
  <conditionalFormatting sqref="C46:D47">
    <cfRule type="expression" dxfId="1" priority="7">
      <formula>ISBLANK(C46)</formula>
    </cfRule>
  </conditionalFormatting>
  <conditionalFormatting sqref="C49:D50">
    <cfRule type="expression" dxfId="1" priority="6">
      <formula>ISBLANK(C49)</formula>
    </cfRule>
  </conditionalFormatting>
  <dataValidations count="1">
    <dataValidation type="list" allowBlank="1" showInputMessage="1" showErrorMessage="1" sqref="B8">
      <formula1>Semestre1!$C$5:$C$22</formula1>
    </dataValidation>
  </dataValidations>
  <pageMargins left="0.984251968503937" right="0.984251968503937" top="0.984251968503937" bottom="0.984251968503937" header="0.511811023622047" footer="0.511811023622047"/>
  <pageSetup paperSize="9" scale="43" orientation="portrait"/>
  <headerFooter/>
  <drawing r:id="rId1"/>
  <legacyDrawing r:id="rId2"/>
  <controls>
    <mc:AlternateContent xmlns:mc="http://schemas.openxmlformats.org/markup-compatibility/2006">
      <mc:Choice Requires="x14">
        <control shapeId="1028" r:id="rId3">
          <controlPr defaultSize="0" r:id="rId4">
            <anchor moveWithCells="1">
              <from>
                <xdr:col>6</xdr:col>
                <xdr:colOff>625475</xdr:colOff>
                <xdr:row>16</xdr:row>
                <xdr:rowOff>212725</xdr:rowOff>
              </from>
              <to>
                <xdr:col>11</xdr:col>
                <xdr:colOff>603250</xdr:colOff>
                <xdr:row>21</xdr:row>
                <xdr:rowOff>184150</xdr:rowOff>
              </to>
            </anchor>
          </controlPr>
        </control>
      </mc:Choice>
      <mc:Fallback>
        <control shapeId="1028" r:id="rId3"/>
      </mc:Fallback>
    </mc:AlternateContent>
    <mc:AlternateContent xmlns:mc="http://schemas.openxmlformats.org/markup-compatibility/2006">
      <mc:Choice Requires="x14">
        <control shapeId="1025" name="Button 1" r:id="rId5">
          <controlPr print="0" defaultSize="0">
            <anchor moveWithCells="1" sizeWithCells="1">
              <from>
                <xdr:col>6</xdr:col>
                <xdr:colOff>625475</xdr:colOff>
                <xdr:row>10</xdr:row>
                <xdr:rowOff>174625</xdr:rowOff>
              </from>
              <to>
                <xdr:col>12</xdr:col>
                <xdr:colOff>22225</xdr:colOff>
                <xdr:row>14</xdr:row>
                <xdr:rowOff>136525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3"/>
  <dimension ref="A1:AS23"/>
  <sheetViews>
    <sheetView topLeftCell="A2" workbookViewId="0">
      <pane xSplit="3" ySplit="2" topLeftCell="Y4" activePane="bottomRight" state="frozen"/>
      <selection/>
      <selection pane="topRight"/>
      <selection pane="bottomLeft"/>
      <selection pane="bottomRight" activeCell="E5" sqref="E5:AL20"/>
    </sheetView>
  </sheetViews>
  <sheetFormatPr defaultColWidth="11.5428571428571" defaultRowHeight="21"/>
  <cols>
    <col min="1" max="2" width="11.2285714285714" style="62" customWidth="1"/>
    <col min="3" max="4" width="44" style="62" customWidth="1"/>
    <col min="5" max="5" width="13.7714285714286" style="62" customWidth="1"/>
    <col min="6" max="8" width="10.5428571428571" style="62" customWidth="1"/>
    <col min="9" max="13" width="11.3142857142857" style="62" customWidth="1"/>
    <col min="14" max="16" width="9.22857142857143" style="62" customWidth="1"/>
    <col min="17" max="19" width="13.2285714285714" style="62" customWidth="1"/>
    <col min="20" max="22" width="9" style="62" customWidth="1"/>
    <col min="23" max="28" width="13.2285714285714" style="62" customWidth="1"/>
    <col min="29" max="31" width="9" style="62" customWidth="1"/>
    <col min="32" max="34" width="9.22857142857143" style="62" customWidth="1"/>
    <col min="35" max="35" width="9.86666666666667" style="62" customWidth="1"/>
    <col min="36" max="36" width="8.67619047619048" style="62" customWidth="1"/>
    <col min="37" max="38" width="9.67619047619048" style="62" customWidth="1"/>
    <col min="39" max="42" width="11.5428571428571" style="62"/>
    <col min="43" max="43" width="17.0857142857143" style="62" customWidth="1"/>
    <col min="44" max="16384" width="11.5428571428571" style="62"/>
  </cols>
  <sheetData>
    <row r="1" ht="71.4" customHeight="1" spans="1:45">
      <c r="A1" s="63" t="s">
        <v>0</v>
      </c>
      <c r="B1" s="63"/>
      <c r="C1" s="63"/>
      <c r="D1" s="63"/>
      <c r="E1" s="63"/>
      <c r="F1" s="64" t="s">
        <v>112</v>
      </c>
      <c r="G1" s="64"/>
      <c r="H1" s="64"/>
      <c r="I1" s="64"/>
      <c r="J1" s="64"/>
      <c r="K1" s="64"/>
      <c r="L1" s="64"/>
      <c r="M1" s="64"/>
      <c r="N1" s="64"/>
      <c r="O1" s="64" t="s">
        <v>113</v>
      </c>
      <c r="P1" s="64"/>
      <c r="Q1" s="64"/>
      <c r="R1" s="64"/>
      <c r="S1" s="64"/>
      <c r="T1" s="64"/>
      <c r="U1" s="64" t="s">
        <v>114</v>
      </c>
      <c r="V1" s="64"/>
      <c r="W1" s="64"/>
      <c r="X1" s="64"/>
      <c r="Y1" s="64"/>
      <c r="Z1" s="64"/>
      <c r="AA1" s="64" t="s">
        <v>4</v>
      </c>
      <c r="AB1" s="64"/>
      <c r="AC1" s="64"/>
      <c r="AD1" s="64"/>
      <c r="AE1" s="64"/>
      <c r="AF1" s="64"/>
      <c r="AG1" s="64" t="s">
        <v>115</v>
      </c>
      <c r="AH1" s="64"/>
      <c r="AI1" s="64"/>
      <c r="AJ1" s="64"/>
      <c r="AK1" s="64"/>
      <c r="AL1" s="64"/>
      <c r="AM1" s="84"/>
      <c r="AN1" s="85" t="s">
        <v>6</v>
      </c>
      <c r="AO1" s="86"/>
      <c r="AP1" s="86"/>
      <c r="AQ1" s="86"/>
      <c r="AR1" s="86"/>
      <c r="AS1" s="94"/>
    </row>
    <row r="2" s="60" customFormat="1" ht="71.4" customHeight="1" spans="1:40">
      <c r="A2" s="65"/>
      <c r="B2" s="65"/>
      <c r="C2" s="65"/>
      <c r="D2" s="65"/>
      <c r="E2" s="65"/>
      <c r="F2" s="66" t="s">
        <v>116</v>
      </c>
      <c r="G2" s="66"/>
      <c r="H2" s="66"/>
      <c r="I2" s="66" t="s">
        <v>117</v>
      </c>
      <c r="J2" s="66"/>
      <c r="K2" s="66"/>
      <c r="L2" s="74" t="s">
        <v>118</v>
      </c>
      <c r="M2" s="74"/>
      <c r="N2" s="74"/>
      <c r="O2" s="74" t="s">
        <v>119</v>
      </c>
      <c r="P2" s="74"/>
      <c r="Q2" s="74"/>
      <c r="R2" s="74" t="s">
        <v>120</v>
      </c>
      <c r="S2" s="74"/>
      <c r="T2" s="74"/>
      <c r="U2" s="74" t="s">
        <v>121</v>
      </c>
      <c r="V2" s="74"/>
      <c r="W2" s="74"/>
      <c r="X2" s="74" t="s">
        <v>122</v>
      </c>
      <c r="Y2" s="74"/>
      <c r="Z2" s="74"/>
      <c r="AA2" s="74" t="s">
        <v>123</v>
      </c>
      <c r="AB2" s="74"/>
      <c r="AC2" s="74"/>
      <c r="AD2" s="74" t="s">
        <v>124</v>
      </c>
      <c r="AE2" s="74"/>
      <c r="AF2" s="74"/>
      <c r="AG2" s="74" t="s">
        <v>125</v>
      </c>
      <c r="AH2" s="74"/>
      <c r="AI2" s="74"/>
      <c r="AJ2" s="74" t="s">
        <v>126</v>
      </c>
      <c r="AK2" s="74"/>
      <c r="AL2" s="74"/>
      <c r="AM2" s="87"/>
      <c r="AN2" s="65"/>
    </row>
    <row r="3" s="60" customFormat="1" ht="37.5" customHeight="1" spans="1:40">
      <c r="A3" s="65"/>
      <c r="B3" s="65"/>
      <c r="C3" s="65"/>
      <c r="D3" s="65"/>
      <c r="E3" s="65"/>
      <c r="F3" s="66"/>
      <c r="G3" s="66"/>
      <c r="H3" s="66">
        <v>3.5</v>
      </c>
      <c r="I3" s="66"/>
      <c r="J3" s="66"/>
      <c r="K3" s="66">
        <v>3.5</v>
      </c>
      <c r="L3" s="74"/>
      <c r="M3" s="74"/>
      <c r="N3" s="74">
        <v>3</v>
      </c>
      <c r="O3" s="74"/>
      <c r="P3" s="74"/>
      <c r="Q3" s="74">
        <v>4</v>
      </c>
      <c r="R3" s="74"/>
      <c r="S3" s="74"/>
      <c r="T3" s="74">
        <v>3</v>
      </c>
      <c r="U3" s="74"/>
      <c r="V3" s="74"/>
      <c r="W3" s="74">
        <v>2</v>
      </c>
      <c r="X3" s="74"/>
      <c r="Y3" s="74"/>
      <c r="Z3" s="74">
        <v>2</v>
      </c>
      <c r="AA3" s="74"/>
      <c r="AB3" s="74"/>
      <c r="AC3" s="74">
        <v>2.5</v>
      </c>
      <c r="AD3" s="74"/>
      <c r="AE3" s="74"/>
      <c r="AF3" s="74">
        <v>2.5</v>
      </c>
      <c r="AG3" s="74"/>
      <c r="AH3" s="74"/>
      <c r="AI3" s="74">
        <v>2</v>
      </c>
      <c r="AJ3" s="74"/>
      <c r="AK3" s="74"/>
      <c r="AL3" s="74">
        <v>2</v>
      </c>
      <c r="AM3" s="87"/>
      <c r="AN3" s="65"/>
    </row>
    <row r="4" spans="1:40">
      <c r="A4" s="67" t="s">
        <v>18</v>
      </c>
      <c r="B4" s="68" t="s">
        <v>19</v>
      </c>
      <c r="C4" s="68" t="s">
        <v>127</v>
      </c>
      <c r="D4" s="68" t="s">
        <v>21</v>
      </c>
      <c r="E4" s="68" t="s">
        <v>22</v>
      </c>
      <c r="F4" s="69" t="s">
        <v>23</v>
      </c>
      <c r="G4" s="69" t="s">
        <v>24</v>
      </c>
      <c r="H4" s="69" t="s">
        <v>25</v>
      </c>
      <c r="I4" s="69" t="s">
        <v>23</v>
      </c>
      <c r="J4" s="69" t="s">
        <v>24</v>
      </c>
      <c r="K4" s="69" t="s">
        <v>25</v>
      </c>
      <c r="L4" s="69" t="s">
        <v>23</v>
      </c>
      <c r="M4" s="69" t="s">
        <v>24</v>
      </c>
      <c r="N4" s="69" t="s">
        <v>25</v>
      </c>
      <c r="O4" s="69" t="s">
        <v>23</v>
      </c>
      <c r="P4" s="69" t="s">
        <v>24</v>
      </c>
      <c r="Q4" s="69" t="s">
        <v>25</v>
      </c>
      <c r="R4" s="69" t="s">
        <v>23</v>
      </c>
      <c r="S4" s="69" t="s">
        <v>24</v>
      </c>
      <c r="T4" s="69" t="s">
        <v>25</v>
      </c>
      <c r="U4" s="69" t="s">
        <v>23</v>
      </c>
      <c r="V4" s="69" t="s">
        <v>24</v>
      </c>
      <c r="W4" s="69" t="s">
        <v>25</v>
      </c>
      <c r="X4" s="69" t="s">
        <v>23</v>
      </c>
      <c r="Y4" s="69" t="s">
        <v>24</v>
      </c>
      <c r="Z4" s="69" t="s">
        <v>25</v>
      </c>
      <c r="AA4" s="69" t="s">
        <v>23</v>
      </c>
      <c r="AB4" s="69" t="s">
        <v>24</v>
      </c>
      <c r="AC4" s="69" t="s">
        <v>25</v>
      </c>
      <c r="AD4" s="69" t="s">
        <v>23</v>
      </c>
      <c r="AE4" s="69" t="s">
        <v>24</v>
      </c>
      <c r="AF4" s="69" t="s">
        <v>25</v>
      </c>
      <c r="AG4" s="69" t="s">
        <v>23</v>
      </c>
      <c r="AH4" s="69" t="s">
        <v>24</v>
      </c>
      <c r="AI4" s="69" t="s">
        <v>25</v>
      </c>
      <c r="AJ4" s="69" t="s">
        <v>23</v>
      </c>
      <c r="AK4" s="69" t="s">
        <v>24</v>
      </c>
      <c r="AL4" s="69" t="s">
        <v>25</v>
      </c>
      <c r="AM4" s="88" t="s">
        <v>26</v>
      </c>
      <c r="AN4" s="84" t="s">
        <v>6</v>
      </c>
    </row>
    <row r="5" spans="1:43">
      <c r="A5" s="67"/>
      <c r="B5" s="67"/>
      <c r="C5" s="67" t="s">
        <v>128</v>
      </c>
      <c r="D5" s="67" t="s">
        <v>129</v>
      </c>
      <c r="E5" s="72"/>
      <c r="F5" s="96"/>
      <c r="G5" s="97"/>
      <c r="H5" s="73"/>
      <c r="I5" s="99"/>
      <c r="J5" s="99"/>
      <c r="K5" s="73"/>
      <c r="L5" s="1"/>
      <c r="M5" s="99"/>
      <c r="N5" s="73"/>
      <c r="O5" s="71"/>
      <c r="P5" s="71"/>
      <c r="Q5" s="73"/>
      <c r="R5" s="71"/>
      <c r="S5" s="71"/>
      <c r="T5" s="73"/>
      <c r="U5" s="71"/>
      <c r="V5" s="71"/>
      <c r="W5" s="73"/>
      <c r="X5" s="71"/>
      <c r="Y5" s="81"/>
      <c r="Z5" s="73"/>
      <c r="AA5" s="71"/>
      <c r="AB5" s="71"/>
      <c r="AC5" s="73"/>
      <c r="AD5" s="71"/>
      <c r="AE5" s="71"/>
      <c r="AF5" s="73"/>
      <c r="AG5" s="71"/>
      <c r="AH5" s="71"/>
      <c r="AI5" s="73"/>
      <c r="AJ5" s="71"/>
      <c r="AK5" s="71"/>
      <c r="AL5" s="73"/>
      <c r="AM5" s="89">
        <f t="shared" ref="AM5:AM20" si="0">SUMPRODUCT(F5:AL5,$F$3:$AL$3)/SUM($F$3:$AL$3)</f>
        <v>0</v>
      </c>
      <c r="AN5" s="90">
        <f t="shared" ref="AN5:AN20" si="1">RANK(AM5,$AM$5:$AM$20)</f>
        <v>1</v>
      </c>
      <c r="AO5" s="101"/>
      <c r="AP5" s="101"/>
      <c r="AQ5" s="101"/>
    </row>
    <row r="6" spans="1:43">
      <c r="A6" s="67"/>
      <c r="B6" s="67"/>
      <c r="C6" s="67" t="s">
        <v>130</v>
      </c>
      <c r="D6" s="67" t="s">
        <v>30</v>
      </c>
      <c r="E6" s="72"/>
      <c r="F6" s="96"/>
      <c r="G6" s="97"/>
      <c r="H6" s="73"/>
      <c r="I6" s="99"/>
      <c r="J6" s="99"/>
      <c r="K6" s="73"/>
      <c r="L6" s="1"/>
      <c r="M6" s="99"/>
      <c r="N6" s="73"/>
      <c r="O6" s="71"/>
      <c r="P6" s="71"/>
      <c r="Q6" s="73"/>
      <c r="R6" s="71"/>
      <c r="S6" s="71"/>
      <c r="T6" s="73"/>
      <c r="U6" s="71"/>
      <c r="V6" s="71"/>
      <c r="W6" s="73"/>
      <c r="X6" s="71"/>
      <c r="Y6" s="81"/>
      <c r="Z6" s="73"/>
      <c r="AA6" s="71"/>
      <c r="AB6" s="71"/>
      <c r="AC6" s="73"/>
      <c r="AD6" s="71"/>
      <c r="AE6" s="71"/>
      <c r="AF6" s="73"/>
      <c r="AG6" s="71"/>
      <c r="AH6" s="71"/>
      <c r="AI6" s="73"/>
      <c r="AJ6" s="71"/>
      <c r="AK6" s="71"/>
      <c r="AL6" s="73"/>
      <c r="AM6" s="89">
        <f t="shared" si="0"/>
        <v>0</v>
      </c>
      <c r="AN6" s="90">
        <f t="shared" si="1"/>
        <v>1</v>
      </c>
      <c r="AO6" s="101"/>
      <c r="AP6" s="101"/>
      <c r="AQ6" s="101"/>
    </row>
    <row r="7" spans="1:43">
      <c r="A7" s="67"/>
      <c r="B7" s="67"/>
      <c r="C7" s="67" t="s">
        <v>131</v>
      </c>
      <c r="D7" s="67" t="s">
        <v>129</v>
      </c>
      <c r="E7" s="72"/>
      <c r="F7" s="96"/>
      <c r="G7" s="97"/>
      <c r="H7" s="73"/>
      <c r="I7" s="99"/>
      <c r="J7" s="99"/>
      <c r="K7" s="73"/>
      <c r="L7" s="1"/>
      <c r="M7" s="99"/>
      <c r="N7" s="73"/>
      <c r="O7" s="71"/>
      <c r="P7" s="71"/>
      <c r="Q7" s="73"/>
      <c r="R7" s="71"/>
      <c r="S7" s="71"/>
      <c r="T7" s="73"/>
      <c r="U7" s="71"/>
      <c r="V7" s="71"/>
      <c r="W7" s="73"/>
      <c r="X7" s="71"/>
      <c r="Y7" s="81"/>
      <c r="Z7" s="73"/>
      <c r="AA7" s="71"/>
      <c r="AB7" s="71"/>
      <c r="AC7" s="73"/>
      <c r="AD7" s="71"/>
      <c r="AE7" s="71"/>
      <c r="AF7" s="73"/>
      <c r="AG7" s="71"/>
      <c r="AH7" s="71"/>
      <c r="AI7" s="73"/>
      <c r="AJ7" s="71"/>
      <c r="AK7" s="71"/>
      <c r="AL7" s="73"/>
      <c r="AM7" s="89">
        <f t="shared" si="0"/>
        <v>0</v>
      </c>
      <c r="AN7" s="90">
        <f t="shared" si="1"/>
        <v>1</v>
      </c>
      <c r="AO7" s="101"/>
      <c r="AP7" s="101"/>
      <c r="AQ7" s="101"/>
    </row>
    <row r="8" spans="1:43">
      <c r="A8" s="67"/>
      <c r="B8" s="67"/>
      <c r="C8" s="67" t="s">
        <v>132</v>
      </c>
      <c r="D8" s="67" t="s">
        <v>129</v>
      </c>
      <c r="E8" s="72"/>
      <c r="F8" s="96"/>
      <c r="G8" s="97"/>
      <c r="H8" s="73"/>
      <c r="I8" s="99"/>
      <c r="J8" s="99"/>
      <c r="K8" s="73"/>
      <c r="L8" s="1"/>
      <c r="M8" s="99"/>
      <c r="N8" s="73"/>
      <c r="O8" s="71"/>
      <c r="P8" s="71"/>
      <c r="Q8" s="73"/>
      <c r="R8" s="71"/>
      <c r="S8" s="71"/>
      <c r="T8" s="73"/>
      <c r="U8" s="71"/>
      <c r="V8" s="71"/>
      <c r="W8" s="73"/>
      <c r="X8" s="71"/>
      <c r="Y8" s="81"/>
      <c r="Z8" s="73"/>
      <c r="AA8" s="71"/>
      <c r="AB8" s="71"/>
      <c r="AC8" s="73"/>
      <c r="AD8" s="71"/>
      <c r="AE8" s="71"/>
      <c r="AF8" s="73"/>
      <c r="AG8" s="71"/>
      <c r="AH8" s="71"/>
      <c r="AI8" s="73"/>
      <c r="AJ8" s="71"/>
      <c r="AK8" s="71"/>
      <c r="AL8" s="73"/>
      <c r="AM8" s="89">
        <f t="shared" si="0"/>
        <v>0</v>
      </c>
      <c r="AN8" s="90">
        <f t="shared" si="1"/>
        <v>1</v>
      </c>
      <c r="AO8" s="101"/>
      <c r="AP8" s="101"/>
      <c r="AQ8" s="101"/>
    </row>
    <row r="9" spans="1:43">
      <c r="A9" s="67"/>
      <c r="B9" s="67"/>
      <c r="C9" s="67" t="s">
        <v>133</v>
      </c>
      <c r="D9" s="67" t="s">
        <v>129</v>
      </c>
      <c r="E9" s="72"/>
      <c r="F9" s="96"/>
      <c r="G9" s="97"/>
      <c r="H9" s="73"/>
      <c r="I9" s="99"/>
      <c r="J9" s="99"/>
      <c r="K9" s="73"/>
      <c r="L9" s="1"/>
      <c r="M9" s="99"/>
      <c r="N9" s="73"/>
      <c r="O9" s="71"/>
      <c r="P9" s="71"/>
      <c r="Q9" s="73"/>
      <c r="R9" s="71"/>
      <c r="S9" s="71"/>
      <c r="T9" s="73"/>
      <c r="U9" s="71"/>
      <c r="V9" s="71"/>
      <c r="W9" s="73"/>
      <c r="X9" s="71"/>
      <c r="Y9" s="81"/>
      <c r="Z9" s="73"/>
      <c r="AA9" s="71"/>
      <c r="AB9" s="71"/>
      <c r="AC9" s="73"/>
      <c r="AD9" s="71"/>
      <c r="AE9" s="71"/>
      <c r="AF9" s="73"/>
      <c r="AG9" s="71"/>
      <c r="AH9" s="71"/>
      <c r="AI9" s="73"/>
      <c r="AJ9" s="71"/>
      <c r="AK9" s="71"/>
      <c r="AL9" s="73"/>
      <c r="AM9" s="89">
        <f t="shared" si="0"/>
        <v>0</v>
      </c>
      <c r="AN9" s="90">
        <f t="shared" si="1"/>
        <v>1</v>
      </c>
      <c r="AO9" s="101"/>
      <c r="AP9" s="101"/>
      <c r="AQ9" s="101"/>
    </row>
    <row r="10" spans="1:43">
      <c r="A10" s="67"/>
      <c r="B10" s="67"/>
      <c r="C10" s="67" t="s">
        <v>134</v>
      </c>
      <c r="D10" s="67" t="s">
        <v>129</v>
      </c>
      <c r="E10" s="72"/>
      <c r="F10" s="96"/>
      <c r="G10" s="97"/>
      <c r="H10" s="73"/>
      <c r="I10" s="99"/>
      <c r="J10" s="99"/>
      <c r="K10" s="73"/>
      <c r="L10" s="1"/>
      <c r="M10" s="99"/>
      <c r="N10" s="73"/>
      <c r="O10" s="71"/>
      <c r="P10" s="71"/>
      <c r="Q10" s="73"/>
      <c r="R10" s="71"/>
      <c r="S10" s="71"/>
      <c r="T10" s="73"/>
      <c r="U10" s="71"/>
      <c r="V10" s="71"/>
      <c r="W10" s="73"/>
      <c r="X10" s="71"/>
      <c r="Y10" s="81"/>
      <c r="Z10" s="73"/>
      <c r="AA10" s="71"/>
      <c r="AB10" s="71"/>
      <c r="AC10" s="73"/>
      <c r="AD10" s="71"/>
      <c r="AE10" s="71"/>
      <c r="AF10" s="73"/>
      <c r="AG10" s="71"/>
      <c r="AH10" s="71"/>
      <c r="AI10" s="73"/>
      <c r="AJ10" s="71"/>
      <c r="AK10" s="71"/>
      <c r="AL10" s="73"/>
      <c r="AM10" s="89">
        <f t="shared" si="0"/>
        <v>0</v>
      </c>
      <c r="AN10" s="90">
        <f t="shared" si="1"/>
        <v>1</v>
      </c>
      <c r="AO10" s="101"/>
      <c r="AP10" s="101"/>
      <c r="AQ10" s="101"/>
    </row>
    <row r="11" spans="1:43">
      <c r="A11" s="67"/>
      <c r="B11" s="67"/>
      <c r="C11" s="67" t="s">
        <v>135</v>
      </c>
      <c r="D11" s="67" t="s">
        <v>129</v>
      </c>
      <c r="E11" s="72"/>
      <c r="F11" s="96"/>
      <c r="G11" s="97"/>
      <c r="H11" s="73"/>
      <c r="I11" s="99"/>
      <c r="J11" s="99"/>
      <c r="K11" s="73"/>
      <c r="L11" s="1"/>
      <c r="M11" s="99"/>
      <c r="N11" s="73"/>
      <c r="O11" s="71"/>
      <c r="P11" s="71"/>
      <c r="Q11" s="73"/>
      <c r="R11" s="71"/>
      <c r="S11" s="71"/>
      <c r="T11" s="73"/>
      <c r="U11" s="71"/>
      <c r="V11" s="71"/>
      <c r="W11" s="73"/>
      <c r="X11" s="71"/>
      <c r="Y11" s="81"/>
      <c r="Z11" s="73"/>
      <c r="AA11" s="71"/>
      <c r="AB11" s="71"/>
      <c r="AC11" s="73"/>
      <c r="AD11" s="71"/>
      <c r="AE11" s="71"/>
      <c r="AF11" s="73"/>
      <c r="AG11" s="71"/>
      <c r="AH11" s="71"/>
      <c r="AI11" s="73"/>
      <c r="AJ11" s="71"/>
      <c r="AK11" s="71"/>
      <c r="AL11" s="73"/>
      <c r="AM11" s="89">
        <f t="shared" si="0"/>
        <v>0</v>
      </c>
      <c r="AN11" s="90">
        <f t="shared" si="1"/>
        <v>1</v>
      </c>
      <c r="AO11" s="101"/>
      <c r="AP11" s="101"/>
      <c r="AQ11" s="101"/>
    </row>
    <row r="12" spans="1:43">
      <c r="A12" s="67"/>
      <c r="B12" s="67"/>
      <c r="C12" s="67" t="s">
        <v>136</v>
      </c>
      <c r="D12" s="67" t="s">
        <v>129</v>
      </c>
      <c r="E12" s="72"/>
      <c r="F12" s="96"/>
      <c r="G12" s="97"/>
      <c r="H12" s="73"/>
      <c r="I12" s="99"/>
      <c r="J12" s="99"/>
      <c r="K12" s="73"/>
      <c r="L12" s="1"/>
      <c r="M12" s="99"/>
      <c r="N12" s="73"/>
      <c r="O12" s="71"/>
      <c r="P12" s="71"/>
      <c r="Q12" s="73"/>
      <c r="R12" s="71"/>
      <c r="S12" s="71"/>
      <c r="T12" s="73"/>
      <c r="U12" s="71"/>
      <c r="V12" s="71"/>
      <c r="W12" s="73"/>
      <c r="X12" s="71"/>
      <c r="Y12" s="81"/>
      <c r="Z12" s="73"/>
      <c r="AA12" s="71"/>
      <c r="AB12" s="71"/>
      <c r="AC12" s="73"/>
      <c r="AD12" s="71"/>
      <c r="AE12" s="71"/>
      <c r="AF12" s="73"/>
      <c r="AG12" s="71"/>
      <c r="AH12" s="71"/>
      <c r="AI12" s="73"/>
      <c r="AJ12" s="71"/>
      <c r="AK12" s="71"/>
      <c r="AL12" s="73"/>
      <c r="AM12" s="89">
        <f t="shared" si="0"/>
        <v>0</v>
      </c>
      <c r="AN12" s="90">
        <f t="shared" si="1"/>
        <v>1</v>
      </c>
      <c r="AO12" s="101"/>
      <c r="AP12" s="101"/>
      <c r="AQ12" s="101"/>
    </row>
    <row r="13" spans="1:43">
      <c r="A13" s="67"/>
      <c r="B13" s="67"/>
      <c r="C13" s="67" t="s">
        <v>137</v>
      </c>
      <c r="D13" s="67" t="s">
        <v>129</v>
      </c>
      <c r="E13" s="72"/>
      <c r="F13" s="96"/>
      <c r="G13" s="97"/>
      <c r="H13" s="73"/>
      <c r="I13" s="99"/>
      <c r="J13" s="99"/>
      <c r="K13" s="73"/>
      <c r="L13" s="1"/>
      <c r="M13" s="99"/>
      <c r="N13" s="73"/>
      <c r="O13" s="71"/>
      <c r="P13" s="71"/>
      <c r="Q13" s="73"/>
      <c r="R13" s="71"/>
      <c r="S13" s="71"/>
      <c r="T13" s="73"/>
      <c r="U13" s="71"/>
      <c r="V13" s="71"/>
      <c r="W13" s="73"/>
      <c r="X13" s="71"/>
      <c r="Y13" s="81"/>
      <c r="Z13" s="73"/>
      <c r="AA13" s="71"/>
      <c r="AB13" s="71"/>
      <c r="AC13" s="73"/>
      <c r="AD13" s="71"/>
      <c r="AE13" s="71"/>
      <c r="AF13" s="73"/>
      <c r="AG13" s="71"/>
      <c r="AH13" s="71"/>
      <c r="AI13" s="73"/>
      <c r="AJ13" s="71"/>
      <c r="AK13" s="71"/>
      <c r="AL13" s="73"/>
      <c r="AM13" s="89">
        <f t="shared" si="0"/>
        <v>0</v>
      </c>
      <c r="AN13" s="90">
        <f t="shared" si="1"/>
        <v>1</v>
      </c>
      <c r="AO13" s="101"/>
      <c r="AP13" s="101"/>
      <c r="AQ13" s="101"/>
    </row>
    <row r="14" spans="1:43">
      <c r="A14" s="67"/>
      <c r="B14" s="67"/>
      <c r="C14" s="67" t="s">
        <v>138</v>
      </c>
      <c r="D14" s="67" t="s">
        <v>30</v>
      </c>
      <c r="E14" s="72"/>
      <c r="F14" s="96"/>
      <c r="G14" s="97"/>
      <c r="H14" s="73"/>
      <c r="I14" s="99"/>
      <c r="J14" s="99"/>
      <c r="K14" s="73"/>
      <c r="L14" s="1"/>
      <c r="M14" s="99"/>
      <c r="N14" s="73"/>
      <c r="O14" s="71"/>
      <c r="P14" s="71"/>
      <c r="Q14" s="73"/>
      <c r="R14" s="71"/>
      <c r="S14" s="71"/>
      <c r="T14" s="73"/>
      <c r="U14" s="71"/>
      <c r="V14" s="71"/>
      <c r="W14" s="73"/>
      <c r="X14" s="71"/>
      <c r="Y14" s="81"/>
      <c r="Z14" s="73"/>
      <c r="AA14" s="71"/>
      <c r="AB14" s="71"/>
      <c r="AC14" s="73"/>
      <c r="AD14" s="71"/>
      <c r="AE14" s="71"/>
      <c r="AF14" s="73"/>
      <c r="AG14" s="71"/>
      <c r="AH14" s="71"/>
      <c r="AI14" s="73"/>
      <c r="AJ14" s="71"/>
      <c r="AK14" s="71"/>
      <c r="AL14" s="73"/>
      <c r="AM14" s="89">
        <f t="shared" si="0"/>
        <v>0</v>
      </c>
      <c r="AN14" s="90">
        <f t="shared" si="1"/>
        <v>1</v>
      </c>
      <c r="AO14" s="101"/>
      <c r="AP14" s="101"/>
      <c r="AQ14" s="101"/>
    </row>
    <row r="15" spans="1:40">
      <c r="A15" s="67"/>
      <c r="B15" s="67"/>
      <c r="C15" s="67" t="s">
        <v>139</v>
      </c>
      <c r="D15" s="67" t="s">
        <v>129</v>
      </c>
      <c r="E15" s="72"/>
      <c r="F15" s="96"/>
      <c r="G15" s="97"/>
      <c r="H15" s="73"/>
      <c r="I15" s="99"/>
      <c r="J15" s="99"/>
      <c r="K15" s="73"/>
      <c r="L15" s="1"/>
      <c r="M15" s="99"/>
      <c r="N15" s="73"/>
      <c r="O15" s="71"/>
      <c r="P15" s="71"/>
      <c r="Q15" s="73"/>
      <c r="R15" s="71"/>
      <c r="S15" s="71"/>
      <c r="T15" s="73"/>
      <c r="U15" s="71"/>
      <c r="V15" s="71"/>
      <c r="W15" s="73"/>
      <c r="X15" s="71"/>
      <c r="Y15" s="81"/>
      <c r="Z15" s="73"/>
      <c r="AA15" s="71"/>
      <c r="AB15" s="71"/>
      <c r="AC15" s="73"/>
      <c r="AD15" s="71"/>
      <c r="AE15" s="71"/>
      <c r="AF15" s="73"/>
      <c r="AG15" s="71"/>
      <c r="AH15" s="71"/>
      <c r="AI15" s="73"/>
      <c r="AJ15" s="71"/>
      <c r="AK15" s="71"/>
      <c r="AL15" s="73"/>
      <c r="AM15" s="89">
        <f t="shared" si="0"/>
        <v>0</v>
      </c>
      <c r="AN15" s="90">
        <f t="shared" si="1"/>
        <v>1</v>
      </c>
    </row>
    <row r="16" spans="1:40">
      <c r="A16" s="67"/>
      <c r="B16" s="67"/>
      <c r="C16" s="67" t="s">
        <v>140</v>
      </c>
      <c r="D16" s="67" t="s">
        <v>30</v>
      </c>
      <c r="E16" s="72"/>
      <c r="F16" s="96"/>
      <c r="G16" s="97"/>
      <c r="H16" s="73"/>
      <c r="I16" s="99"/>
      <c r="J16" s="99"/>
      <c r="K16" s="73"/>
      <c r="L16" s="1"/>
      <c r="M16" s="99"/>
      <c r="N16" s="73"/>
      <c r="O16" s="71"/>
      <c r="P16" s="71"/>
      <c r="Q16" s="73"/>
      <c r="R16" s="71"/>
      <c r="S16" s="71"/>
      <c r="T16" s="73"/>
      <c r="U16" s="71"/>
      <c r="V16" s="71"/>
      <c r="W16" s="73"/>
      <c r="X16" s="71"/>
      <c r="Y16" s="81"/>
      <c r="Z16" s="73"/>
      <c r="AA16" s="71"/>
      <c r="AB16" s="71"/>
      <c r="AC16" s="73"/>
      <c r="AD16" s="71"/>
      <c r="AE16" s="71"/>
      <c r="AF16" s="73"/>
      <c r="AG16" s="71"/>
      <c r="AH16" s="71"/>
      <c r="AI16" s="73"/>
      <c r="AJ16" s="71"/>
      <c r="AK16" s="71"/>
      <c r="AL16" s="73"/>
      <c r="AM16" s="89">
        <f t="shared" si="0"/>
        <v>0</v>
      </c>
      <c r="AN16" s="90">
        <f t="shared" si="1"/>
        <v>1</v>
      </c>
    </row>
    <row r="17" spans="1:40">
      <c r="A17" s="67"/>
      <c r="B17" s="67"/>
      <c r="C17" s="67" t="s">
        <v>141</v>
      </c>
      <c r="D17" s="67" t="s">
        <v>129</v>
      </c>
      <c r="E17" s="72"/>
      <c r="F17" s="96"/>
      <c r="G17" s="97"/>
      <c r="H17" s="73"/>
      <c r="I17" s="99"/>
      <c r="J17" s="99"/>
      <c r="K17" s="73"/>
      <c r="L17" s="1"/>
      <c r="M17" s="99"/>
      <c r="N17" s="73"/>
      <c r="O17" s="71"/>
      <c r="P17" s="71"/>
      <c r="Q17" s="73"/>
      <c r="R17" s="71"/>
      <c r="S17" s="71"/>
      <c r="T17" s="73"/>
      <c r="U17" s="71"/>
      <c r="V17" s="71"/>
      <c r="W17" s="73"/>
      <c r="X17" s="71"/>
      <c r="Y17" s="81"/>
      <c r="Z17" s="73"/>
      <c r="AA17" s="71"/>
      <c r="AB17" s="71"/>
      <c r="AC17" s="73"/>
      <c r="AD17" s="71"/>
      <c r="AE17" s="71"/>
      <c r="AF17" s="73"/>
      <c r="AG17" s="71"/>
      <c r="AH17" s="71"/>
      <c r="AI17" s="73"/>
      <c r="AJ17" s="71"/>
      <c r="AK17" s="71"/>
      <c r="AL17" s="73"/>
      <c r="AM17" s="89">
        <f t="shared" si="0"/>
        <v>0</v>
      </c>
      <c r="AN17" s="90">
        <f t="shared" si="1"/>
        <v>1</v>
      </c>
    </row>
    <row r="18" spans="1:40">
      <c r="A18" s="67"/>
      <c r="B18" s="67"/>
      <c r="C18" s="67" t="s">
        <v>142</v>
      </c>
      <c r="D18" s="67" t="s">
        <v>129</v>
      </c>
      <c r="E18" s="72"/>
      <c r="F18" s="96"/>
      <c r="G18" s="97"/>
      <c r="H18" s="73"/>
      <c r="I18" s="99"/>
      <c r="J18" s="99"/>
      <c r="K18" s="73"/>
      <c r="L18" s="1"/>
      <c r="M18" s="99"/>
      <c r="N18" s="73"/>
      <c r="O18" s="71"/>
      <c r="P18" s="71"/>
      <c r="Q18" s="73"/>
      <c r="R18" s="71"/>
      <c r="S18" s="71"/>
      <c r="T18" s="73"/>
      <c r="U18" s="71"/>
      <c r="V18" s="71"/>
      <c r="W18" s="73"/>
      <c r="X18" s="71"/>
      <c r="Y18" s="81"/>
      <c r="Z18" s="73"/>
      <c r="AA18" s="71"/>
      <c r="AB18" s="71"/>
      <c r="AC18" s="73"/>
      <c r="AD18" s="71"/>
      <c r="AE18" s="71"/>
      <c r="AF18" s="73"/>
      <c r="AG18" s="71"/>
      <c r="AH18" s="71"/>
      <c r="AI18" s="73"/>
      <c r="AJ18" s="71"/>
      <c r="AK18" s="71"/>
      <c r="AL18" s="73"/>
      <c r="AM18" s="89">
        <f t="shared" si="0"/>
        <v>0</v>
      </c>
      <c r="AN18" s="90">
        <f t="shared" si="1"/>
        <v>1</v>
      </c>
    </row>
    <row r="19" spans="1:40">
      <c r="A19" s="67"/>
      <c r="B19" s="67"/>
      <c r="C19" s="67" t="s">
        <v>143</v>
      </c>
      <c r="D19" s="67" t="s">
        <v>30</v>
      </c>
      <c r="E19" s="72"/>
      <c r="F19" s="96"/>
      <c r="G19" s="97"/>
      <c r="H19" s="73"/>
      <c r="I19" s="99"/>
      <c r="J19" s="99"/>
      <c r="K19" s="73"/>
      <c r="L19" s="1"/>
      <c r="M19" s="99"/>
      <c r="N19" s="73"/>
      <c r="O19" s="71"/>
      <c r="P19" s="71"/>
      <c r="Q19" s="73"/>
      <c r="R19" s="71"/>
      <c r="S19" s="71"/>
      <c r="T19" s="73"/>
      <c r="U19" s="71"/>
      <c r="V19" s="71"/>
      <c r="W19" s="73"/>
      <c r="X19" s="71"/>
      <c r="Y19" s="81"/>
      <c r="Z19" s="73"/>
      <c r="AA19" s="71"/>
      <c r="AB19" s="71"/>
      <c r="AC19" s="73"/>
      <c r="AD19" s="71"/>
      <c r="AE19" s="71"/>
      <c r="AF19" s="73"/>
      <c r="AG19" s="71"/>
      <c r="AH19" s="71"/>
      <c r="AI19" s="73"/>
      <c r="AJ19" s="71"/>
      <c r="AK19" s="71"/>
      <c r="AL19" s="73"/>
      <c r="AM19" s="89">
        <f t="shared" si="0"/>
        <v>0</v>
      </c>
      <c r="AN19" s="90">
        <f t="shared" si="1"/>
        <v>1</v>
      </c>
    </row>
    <row r="20" spans="1:40">
      <c r="A20" s="67"/>
      <c r="B20" s="67"/>
      <c r="C20" s="67" t="s">
        <v>144</v>
      </c>
      <c r="D20" s="67" t="s">
        <v>145</v>
      </c>
      <c r="E20" s="72"/>
      <c r="F20" s="96"/>
      <c r="G20" s="97"/>
      <c r="H20" s="73"/>
      <c r="I20" s="99"/>
      <c r="J20" s="99"/>
      <c r="K20" s="73"/>
      <c r="L20" s="1"/>
      <c r="M20" s="99"/>
      <c r="N20" s="73"/>
      <c r="O20" s="71"/>
      <c r="P20" s="71"/>
      <c r="Q20" s="73"/>
      <c r="R20" s="71"/>
      <c r="S20" s="71"/>
      <c r="T20" s="73"/>
      <c r="U20" s="71"/>
      <c r="V20" s="71"/>
      <c r="W20" s="73"/>
      <c r="X20" s="71"/>
      <c r="Y20" s="81"/>
      <c r="Z20" s="73"/>
      <c r="AA20" s="71"/>
      <c r="AB20" s="71"/>
      <c r="AC20" s="73"/>
      <c r="AD20" s="71"/>
      <c r="AE20" s="71"/>
      <c r="AF20" s="73"/>
      <c r="AG20" s="71"/>
      <c r="AH20" s="71"/>
      <c r="AI20" s="73"/>
      <c r="AJ20" s="71"/>
      <c r="AK20" s="71"/>
      <c r="AL20" s="73"/>
      <c r="AM20" s="89">
        <f t="shared" si="0"/>
        <v>0</v>
      </c>
      <c r="AN20" s="90">
        <f t="shared" si="1"/>
        <v>1</v>
      </c>
    </row>
    <row r="21" spans="5:39">
      <c r="E21" s="62" t="s">
        <v>25</v>
      </c>
      <c r="F21" s="98" t="e">
        <f>AVERAGE(F5:F20)</f>
        <v>#DIV/0!</v>
      </c>
      <c r="G21" s="98" t="e">
        <f t="shared" ref="G21:AM21" si="2">AVERAGE(G5:G20)</f>
        <v>#DIV/0!</v>
      </c>
      <c r="H21" s="98" t="e">
        <f t="shared" si="2"/>
        <v>#DIV/0!</v>
      </c>
      <c r="I21" s="98" t="e">
        <f t="shared" si="2"/>
        <v>#DIV/0!</v>
      </c>
      <c r="J21" s="98" t="e">
        <f t="shared" si="2"/>
        <v>#DIV/0!</v>
      </c>
      <c r="K21" s="98" t="e">
        <f t="shared" si="2"/>
        <v>#DIV/0!</v>
      </c>
      <c r="L21" s="98" t="e">
        <f t="shared" si="2"/>
        <v>#DIV/0!</v>
      </c>
      <c r="M21" s="98"/>
      <c r="N21" s="98" t="e">
        <f t="shared" si="2"/>
        <v>#DIV/0!</v>
      </c>
      <c r="O21" s="98" t="e">
        <f t="shared" si="2"/>
        <v>#DIV/0!</v>
      </c>
      <c r="P21" s="98"/>
      <c r="Q21" s="98" t="e">
        <f t="shared" si="2"/>
        <v>#DIV/0!</v>
      </c>
      <c r="R21" s="98" t="e">
        <f t="shared" si="2"/>
        <v>#DIV/0!</v>
      </c>
      <c r="S21" s="98" t="e">
        <f t="shared" si="2"/>
        <v>#DIV/0!</v>
      </c>
      <c r="T21" s="98" t="e">
        <f t="shared" si="2"/>
        <v>#DIV/0!</v>
      </c>
      <c r="U21" s="98" t="e">
        <f t="shared" si="2"/>
        <v>#DIV/0!</v>
      </c>
      <c r="V21" s="98"/>
      <c r="W21" s="98" t="e">
        <f t="shared" si="2"/>
        <v>#DIV/0!</v>
      </c>
      <c r="X21" s="98" t="e">
        <f t="shared" si="2"/>
        <v>#DIV/0!</v>
      </c>
      <c r="Y21" s="98"/>
      <c r="Z21" s="98" t="e">
        <f t="shared" si="2"/>
        <v>#DIV/0!</v>
      </c>
      <c r="AA21" s="98" t="e">
        <f t="shared" si="2"/>
        <v>#DIV/0!</v>
      </c>
      <c r="AB21" s="98"/>
      <c r="AC21" s="98" t="e">
        <f t="shared" si="2"/>
        <v>#DIV/0!</v>
      </c>
      <c r="AD21" s="98" t="e">
        <f t="shared" si="2"/>
        <v>#DIV/0!</v>
      </c>
      <c r="AE21" s="98" t="e">
        <f t="shared" si="2"/>
        <v>#DIV/0!</v>
      </c>
      <c r="AF21" s="98" t="e">
        <f t="shared" si="2"/>
        <v>#DIV/0!</v>
      </c>
      <c r="AG21" s="98" t="e">
        <f t="shared" si="2"/>
        <v>#DIV/0!</v>
      </c>
      <c r="AH21" s="98" t="e">
        <f t="shared" si="2"/>
        <v>#DIV/0!</v>
      </c>
      <c r="AI21" s="98" t="e">
        <f t="shared" si="2"/>
        <v>#DIV/0!</v>
      </c>
      <c r="AJ21" s="98" t="e">
        <f t="shared" si="2"/>
        <v>#DIV/0!</v>
      </c>
      <c r="AK21" s="98"/>
      <c r="AL21" s="98" t="e">
        <f t="shared" si="2"/>
        <v>#DIV/0!</v>
      </c>
      <c r="AM21" s="98">
        <f t="shared" si="2"/>
        <v>0</v>
      </c>
    </row>
    <row r="23" spans="20:20">
      <c r="T23" s="100"/>
    </row>
  </sheetData>
  <mergeCells count="17">
    <mergeCell ref="A1:E1"/>
    <mergeCell ref="F1:N1"/>
    <mergeCell ref="O1:T1"/>
    <mergeCell ref="U1:Z1"/>
    <mergeCell ref="AA1:AF1"/>
    <mergeCell ref="AG1:AL1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  <mergeCell ref="AJ2:AL2"/>
  </mergeCells>
  <conditionalFormatting sqref="F4">
    <cfRule type="expression" dxfId="2" priority="37">
      <formula>I$4=Moyenne</formula>
    </cfRule>
  </conditionalFormatting>
  <conditionalFormatting sqref="G4">
    <cfRule type="expression" dxfId="2" priority="40">
      <formula>N$4=Moyenne</formula>
    </cfRule>
  </conditionalFormatting>
  <conditionalFormatting sqref="I4">
    <cfRule type="expression" dxfId="2" priority="35">
      <formula>N$4=Moyenne</formula>
    </cfRule>
  </conditionalFormatting>
  <conditionalFormatting sqref="J4">
    <cfRule type="expression" dxfId="2" priority="36">
      <formula>W$4=Moyenne</formula>
    </cfRule>
  </conditionalFormatting>
  <conditionalFormatting sqref="K4">
    <cfRule type="expression" dxfId="2" priority="42">
      <formula>W$4=Moyenne</formula>
    </cfRule>
  </conditionalFormatting>
  <conditionalFormatting sqref="M4">
    <cfRule type="expression" dxfId="2" priority="34">
      <formula>AF$4=Moyenne</formula>
    </cfRule>
  </conditionalFormatting>
  <conditionalFormatting sqref="O4">
    <cfRule type="expression" dxfId="2" priority="30">
      <formula>Z$4=Moyenne</formula>
    </cfRule>
  </conditionalFormatting>
  <conditionalFormatting sqref="P4">
    <cfRule type="expression" dxfId="2" priority="31">
      <formula>AI$4=Moyenne</formula>
    </cfRule>
  </conditionalFormatting>
  <conditionalFormatting sqref="Q4">
    <cfRule type="expression" dxfId="2" priority="32">
      <formula>AI$4=Moyenne</formula>
    </cfRule>
  </conditionalFormatting>
  <conditionalFormatting sqref="R4">
    <cfRule type="expression" dxfId="2" priority="27">
      <formula>AC$4=Moyenne</formula>
    </cfRule>
  </conditionalFormatting>
  <conditionalFormatting sqref="S4">
    <cfRule type="expression" dxfId="2" priority="28">
      <formula>AL$4=Moyenne</formula>
    </cfRule>
  </conditionalFormatting>
  <conditionalFormatting sqref="T4">
    <cfRule type="expression" dxfId="2" priority="29">
      <formula>AL$4=Moyenne</formula>
    </cfRule>
  </conditionalFormatting>
  <conditionalFormatting sqref="AM4">
    <cfRule type="expression" dxfId="2" priority="45">
      <formula>#REF!=Moyenne</formula>
    </cfRule>
  </conditionalFormatting>
  <conditionalFormatting sqref="F5:F20">
    <cfRule type="expression" dxfId="2" priority="14">
      <formula>I$4=Moyenne</formula>
    </cfRule>
  </conditionalFormatting>
  <conditionalFormatting sqref="G5:G20">
    <cfRule type="expression" dxfId="2" priority="15">
      <formula>N$4=Moyenne</formula>
    </cfRule>
  </conditionalFormatting>
  <conditionalFormatting sqref="H4:H20">
    <cfRule type="expression" dxfId="2" priority="41">
      <formula>N$4=Moyenne</formula>
    </cfRule>
  </conditionalFormatting>
  <conditionalFormatting sqref="I5:I20">
    <cfRule type="expression" dxfId="2" priority="12">
      <formula>Q$4=Moyenne</formula>
    </cfRule>
  </conditionalFormatting>
  <conditionalFormatting sqref="J5:J20">
    <cfRule type="expression" dxfId="2" priority="13">
      <formula>T$4=Moyenne</formula>
    </cfRule>
  </conditionalFormatting>
  <conditionalFormatting sqref="K5:K20">
    <cfRule type="expression" dxfId="2" priority="25">
      <formula>Q$4=Moyenne</formula>
    </cfRule>
  </conditionalFormatting>
  <conditionalFormatting sqref="L5:L20">
    <cfRule type="expression" dxfId="2" priority="10">
      <formula>W$4=Moyenne</formula>
    </cfRule>
  </conditionalFormatting>
  <conditionalFormatting sqref="M5:M20">
    <cfRule type="expression" dxfId="2" priority="11">
      <formula>W$4=Moyenne</formula>
    </cfRule>
  </conditionalFormatting>
  <conditionalFormatting sqref="N5:N20">
    <cfRule type="expression" dxfId="2" priority="24">
      <formula>T$4=Moyenne</formula>
    </cfRule>
  </conditionalFormatting>
  <conditionalFormatting sqref="O5:O20">
    <cfRule type="expression" dxfId="2" priority="8">
      <formula>W$4=Moyenne</formula>
    </cfRule>
  </conditionalFormatting>
  <conditionalFormatting sqref="P5:P20">
    <cfRule type="expression" dxfId="2" priority="9">
      <formula>W$4=Moyenne</formula>
    </cfRule>
  </conditionalFormatting>
  <conditionalFormatting sqref="Q5:Q20">
    <cfRule type="expression" dxfId="2" priority="23">
      <formula>W$4=Moyenne</formula>
    </cfRule>
  </conditionalFormatting>
  <conditionalFormatting sqref="T5:T20">
    <cfRule type="expression" dxfId="2" priority="22">
      <formula>Z$4=Moyenne</formula>
    </cfRule>
  </conditionalFormatting>
  <conditionalFormatting sqref="U5:U20">
    <cfRule type="expression" dxfId="2" priority="6">
      <formula>Y$4=Moyenne</formula>
    </cfRule>
  </conditionalFormatting>
  <conditionalFormatting sqref="W5:W20">
    <cfRule type="expression" dxfId="2" priority="21">
      <formula>AC$4=Moyenne</formula>
    </cfRule>
  </conditionalFormatting>
  <conditionalFormatting sqref="X5:X20">
    <cfRule type="expression" dxfId="2" priority="5">
      <formula>AB$4=Moyenne</formula>
    </cfRule>
  </conditionalFormatting>
  <conditionalFormatting sqref="Y5:Y20">
    <cfRule type="expression" dxfId="2" priority="39">
      <formula>#REF!=Moyenne</formula>
    </cfRule>
  </conditionalFormatting>
  <conditionalFormatting sqref="Z5:Z20">
    <cfRule type="expression" dxfId="2" priority="20">
      <formula>AF$4=Moyenne</formula>
    </cfRule>
  </conditionalFormatting>
  <conditionalFormatting sqref="AC5:AC20">
    <cfRule type="expression" dxfId="2" priority="19">
      <formula>AI$4=Moyenne</formula>
    </cfRule>
  </conditionalFormatting>
  <conditionalFormatting sqref="AD5:AD20">
    <cfRule type="expression" dxfId="2" priority="3">
      <formula>AH$4=Moyenne</formula>
    </cfRule>
  </conditionalFormatting>
  <conditionalFormatting sqref="AF5:AF20">
    <cfRule type="expression" dxfId="2" priority="18">
      <formula>AL$4=Moyenne</formula>
    </cfRule>
  </conditionalFormatting>
  <conditionalFormatting sqref="AI5:AI20">
    <cfRule type="expression" dxfId="2" priority="17">
      <formula>AO$4=Moyenne</formula>
    </cfRule>
  </conditionalFormatting>
  <conditionalFormatting sqref="AL5:AL20">
    <cfRule type="expression" dxfId="2" priority="16">
      <formula>AR$4=Moyenne</formula>
    </cfRule>
  </conditionalFormatting>
  <conditionalFormatting sqref="AM5:AM20">
    <cfRule type="expression" dxfId="2" priority="26">
      <formula>AV$4=Moyenne</formula>
    </cfRule>
  </conditionalFormatting>
  <conditionalFormatting sqref="L4;U4;X4;AA4">
    <cfRule type="expression" dxfId="2" priority="33">
      <formula>W$4=Moyenne</formula>
    </cfRule>
  </conditionalFormatting>
  <conditionalFormatting sqref="N4;Y4;AB4;AE4;AH4;AK4;V4">
    <cfRule type="expression" dxfId="2" priority="44">
      <formula>AF$4=Moyenne</formula>
    </cfRule>
  </conditionalFormatting>
  <conditionalFormatting sqref="Z4;AC4;AF4;AI4;AL4;W4">
    <cfRule type="expression" dxfId="2" priority="46">
      <formula>AN$4=Moyenne</formula>
    </cfRule>
  </conditionalFormatting>
  <conditionalFormatting sqref="AG4;AJ4;AD4">
    <cfRule type="expression" dxfId="2" priority="38">
      <formula>AN$4=Moyenne</formula>
    </cfRule>
  </conditionalFormatting>
  <conditionalFormatting sqref="R5:S20">
    <cfRule type="expression" dxfId="2" priority="7">
      <formula>V$4=Moyenne</formula>
    </cfRule>
  </conditionalFormatting>
  <conditionalFormatting sqref="V5:V20;AE5:AE20">
    <cfRule type="expression" dxfId="2" priority="43">
      <formula>Z$4=Moyenne</formula>
    </cfRule>
  </conditionalFormatting>
  <conditionalFormatting sqref="AA5:AB20">
    <cfRule type="expression" dxfId="2" priority="4">
      <formula>AF$4=Moyenne</formula>
    </cfRule>
  </conditionalFormatting>
  <conditionalFormatting sqref="AG5:AH20">
    <cfRule type="expression" dxfId="2" priority="2">
      <formula>AK$4=Moyenne</formula>
    </cfRule>
  </conditionalFormatting>
  <conditionalFormatting sqref="AJ5:AK20">
    <cfRule type="expression" dxfId="2" priority="1">
      <formula>AN$4=Moyenne</formula>
    </cfRule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6"/>
  <dimension ref="A1:AY34"/>
  <sheetViews>
    <sheetView zoomScale="90" zoomScaleNormal="90" topLeftCell="X1" workbookViewId="0">
      <selection activeCell="AU6" sqref="AU6"/>
    </sheetView>
  </sheetViews>
  <sheetFormatPr defaultColWidth="11.5428571428571" defaultRowHeight="21"/>
  <cols>
    <col min="1" max="2" width="11.2285714285714" style="62" customWidth="1"/>
    <col min="3" max="3" width="17.3142857142857" style="62" customWidth="1"/>
    <col min="4" max="4" width="23.2285714285714" style="62" customWidth="1"/>
    <col min="5" max="5" width="13.6761904761905" style="62" customWidth="1"/>
    <col min="6" max="8" width="10.5428571428571" style="62" customWidth="1"/>
    <col min="9" max="11" width="11.3142857142857" style="62" customWidth="1"/>
    <col min="12" max="13" width="9.22857142857143" style="62" customWidth="1"/>
    <col min="14" max="16" width="13.2285714285714" style="62" customWidth="1"/>
    <col min="17" max="17" width="9" style="62" customWidth="1"/>
    <col min="18" max="19" width="13.2285714285714" style="62" customWidth="1"/>
    <col min="20" max="22" width="9" style="62" customWidth="1"/>
    <col min="23" max="31" width="13.2285714285714" style="62" customWidth="1"/>
    <col min="32" max="34" width="9" style="62" customWidth="1"/>
    <col min="35" max="35" width="9.22857142857143" style="62" customWidth="1"/>
    <col min="36" max="37" width="9" style="62" customWidth="1"/>
    <col min="38" max="40" width="9.22857142857143" style="62" customWidth="1"/>
    <col min="41" max="41" width="9.67619047619048" style="62" customWidth="1"/>
    <col min="42" max="42" width="9.54285714285714" style="62" customWidth="1"/>
    <col min="43" max="43" width="7.45714285714286" style="62" customWidth="1"/>
    <col min="44" max="44" width="10.0857142857143" style="62" customWidth="1"/>
    <col min="45" max="45" width="10.8666666666667" style="62" customWidth="1"/>
    <col min="46" max="48" width="11.5428571428571" style="62"/>
    <col min="49" max="49" width="17.0857142857143" style="62" customWidth="1"/>
    <col min="50" max="16384" width="11.5428571428571" style="62"/>
  </cols>
  <sheetData>
    <row r="1" ht="71.4" customHeight="1" spans="1:51">
      <c r="A1" s="63" t="s">
        <v>0</v>
      </c>
      <c r="B1" s="63"/>
      <c r="C1" s="63"/>
      <c r="D1" s="63"/>
      <c r="E1" s="63"/>
      <c r="F1" s="64" t="s">
        <v>146</v>
      </c>
      <c r="G1" s="64"/>
      <c r="H1" s="64"/>
      <c r="I1" s="64"/>
      <c r="J1" s="64"/>
      <c r="K1" s="64"/>
      <c r="L1" s="64" t="s">
        <v>147</v>
      </c>
      <c r="M1" s="64"/>
      <c r="N1" s="64"/>
      <c r="O1" s="64"/>
      <c r="P1" s="64"/>
      <c r="Q1" s="64"/>
      <c r="R1" s="64"/>
      <c r="S1" s="64"/>
      <c r="T1" s="64"/>
      <c r="U1" s="64" t="s">
        <v>148</v>
      </c>
      <c r="V1" s="64"/>
      <c r="W1" s="64"/>
      <c r="X1" s="64"/>
      <c r="Y1" s="64"/>
      <c r="Z1" s="64"/>
      <c r="AA1" s="64"/>
      <c r="AB1" s="64"/>
      <c r="AC1" s="64"/>
      <c r="AD1" s="64" t="s">
        <v>149</v>
      </c>
      <c r="AE1" s="64"/>
      <c r="AF1" s="64"/>
      <c r="AG1" s="64"/>
      <c r="AH1" s="64"/>
      <c r="AI1" s="64"/>
      <c r="AJ1" s="64"/>
      <c r="AK1" s="64"/>
      <c r="AL1" s="64"/>
      <c r="AM1" s="64" t="s">
        <v>115</v>
      </c>
      <c r="AN1" s="64"/>
      <c r="AO1" s="64"/>
      <c r="AP1" s="64"/>
      <c r="AQ1" s="64"/>
      <c r="AR1" s="64"/>
      <c r="AS1" s="84"/>
      <c r="AT1" s="85" t="s">
        <v>6</v>
      </c>
      <c r="AU1" s="86"/>
      <c r="AV1" s="86"/>
      <c r="AW1" s="86"/>
      <c r="AX1" s="86"/>
      <c r="AY1" s="94"/>
    </row>
    <row r="2" s="60" customFormat="1" ht="71.4" customHeight="1" spans="1:46">
      <c r="A2" s="65"/>
      <c r="B2" s="65"/>
      <c r="C2" s="65"/>
      <c r="D2" s="65"/>
      <c r="E2" s="65"/>
      <c r="F2" s="66" t="s">
        <v>150</v>
      </c>
      <c r="G2" s="66"/>
      <c r="H2" s="66"/>
      <c r="I2" s="66" t="s">
        <v>151</v>
      </c>
      <c r="J2" s="66"/>
      <c r="K2" s="66"/>
      <c r="L2" s="74" t="s">
        <v>152</v>
      </c>
      <c r="M2" s="74"/>
      <c r="N2" s="74"/>
      <c r="O2" s="74" t="s">
        <v>153</v>
      </c>
      <c r="P2" s="74"/>
      <c r="Q2" s="74"/>
      <c r="R2" s="74" t="s">
        <v>154</v>
      </c>
      <c r="S2" s="74"/>
      <c r="T2" s="74"/>
      <c r="U2" s="74" t="s">
        <v>155</v>
      </c>
      <c r="V2" s="74"/>
      <c r="W2" s="74"/>
      <c r="X2" s="74" t="s">
        <v>156</v>
      </c>
      <c r="Y2" s="74"/>
      <c r="Z2" s="74"/>
      <c r="AA2" s="74" t="s">
        <v>157</v>
      </c>
      <c r="AB2" s="74"/>
      <c r="AC2" s="74"/>
      <c r="AD2" s="74" t="s">
        <v>158</v>
      </c>
      <c r="AE2" s="74"/>
      <c r="AF2" s="74"/>
      <c r="AG2" s="74" t="s">
        <v>159</v>
      </c>
      <c r="AH2" s="74"/>
      <c r="AI2" s="74"/>
      <c r="AJ2" s="74" t="s">
        <v>160</v>
      </c>
      <c r="AK2" s="74"/>
      <c r="AL2" s="74"/>
      <c r="AM2" s="74" t="s">
        <v>161</v>
      </c>
      <c r="AN2" s="74"/>
      <c r="AO2" s="74"/>
      <c r="AP2" s="74" t="s">
        <v>162</v>
      </c>
      <c r="AQ2" s="74"/>
      <c r="AR2" s="74"/>
      <c r="AS2" s="87"/>
      <c r="AT2" s="65"/>
    </row>
    <row r="3" s="60" customFormat="1" ht="37.5" customHeight="1" spans="1:46">
      <c r="A3" s="65"/>
      <c r="B3" s="65"/>
      <c r="C3" s="65"/>
      <c r="D3" s="65"/>
      <c r="E3" s="65"/>
      <c r="F3" s="66"/>
      <c r="G3" s="66"/>
      <c r="H3" s="66">
        <v>3</v>
      </c>
      <c r="I3" s="66"/>
      <c r="J3" s="66"/>
      <c r="K3" s="66">
        <v>2</v>
      </c>
      <c r="L3" s="74"/>
      <c r="M3" s="74"/>
      <c r="N3" s="74">
        <v>3.5</v>
      </c>
      <c r="O3" s="74"/>
      <c r="P3" s="74"/>
      <c r="Q3" s="74">
        <v>2.5</v>
      </c>
      <c r="R3" s="74"/>
      <c r="S3" s="74"/>
      <c r="T3" s="74">
        <v>2</v>
      </c>
      <c r="U3" s="74"/>
      <c r="V3" s="74"/>
      <c r="W3" s="74">
        <v>1.5</v>
      </c>
      <c r="X3" s="74"/>
      <c r="Y3" s="74"/>
      <c r="Z3" s="74">
        <v>1</v>
      </c>
      <c r="AA3" s="74"/>
      <c r="AB3" s="74"/>
      <c r="AC3" s="74">
        <v>1.5</v>
      </c>
      <c r="AD3" s="74"/>
      <c r="AE3" s="74"/>
      <c r="AF3" s="74">
        <v>3</v>
      </c>
      <c r="AG3" s="74"/>
      <c r="AH3" s="74"/>
      <c r="AI3" s="74">
        <v>3</v>
      </c>
      <c r="AJ3" s="74"/>
      <c r="AK3" s="74"/>
      <c r="AL3" s="74">
        <v>3</v>
      </c>
      <c r="AM3" s="74"/>
      <c r="AN3" s="74"/>
      <c r="AO3" s="74">
        <v>2</v>
      </c>
      <c r="AP3" s="74"/>
      <c r="AQ3" s="74"/>
      <c r="AR3" s="74">
        <v>2</v>
      </c>
      <c r="AS3" s="87"/>
      <c r="AT3" s="65"/>
    </row>
    <row r="4" spans="1:48">
      <c r="A4" s="67" t="s">
        <v>18</v>
      </c>
      <c r="B4" s="68" t="s">
        <v>19</v>
      </c>
      <c r="C4" s="68" t="s">
        <v>20</v>
      </c>
      <c r="D4" s="68" t="s">
        <v>21</v>
      </c>
      <c r="E4" s="68" t="s">
        <v>22</v>
      </c>
      <c r="F4" s="69" t="s">
        <v>23</v>
      </c>
      <c r="G4" s="69" t="s">
        <v>24</v>
      </c>
      <c r="H4" s="70" t="s">
        <v>25</v>
      </c>
      <c r="I4" s="70" t="s">
        <v>23</v>
      </c>
      <c r="J4" s="70" t="s">
        <v>24</v>
      </c>
      <c r="K4" s="70" t="s">
        <v>25</v>
      </c>
      <c r="L4" s="70" t="s">
        <v>23</v>
      </c>
      <c r="M4" s="70" t="s">
        <v>24</v>
      </c>
      <c r="N4" s="70" t="s">
        <v>25</v>
      </c>
      <c r="O4" s="70" t="s">
        <v>23</v>
      </c>
      <c r="P4" s="70" t="s">
        <v>24</v>
      </c>
      <c r="Q4" s="70" t="s">
        <v>25</v>
      </c>
      <c r="R4" s="70" t="s">
        <v>23</v>
      </c>
      <c r="S4" s="70" t="s">
        <v>24</v>
      </c>
      <c r="T4" s="70" t="s">
        <v>25</v>
      </c>
      <c r="U4" s="70" t="s">
        <v>23</v>
      </c>
      <c r="V4" s="70" t="s">
        <v>24</v>
      </c>
      <c r="W4" s="70" t="s">
        <v>25</v>
      </c>
      <c r="X4" s="70" t="s">
        <v>23</v>
      </c>
      <c r="Y4" s="70" t="s">
        <v>24</v>
      </c>
      <c r="Z4" s="70" t="s">
        <v>25</v>
      </c>
      <c r="AA4" s="70" t="s">
        <v>23</v>
      </c>
      <c r="AB4" s="70" t="s">
        <v>24</v>
      </c>
      <c r="AC4" s="70" t="s">
        <v>25</v>
      </c>
      <c r="AD4" s="70" t="s">
        <v>23</v>
      </c>
      <c r="AE4" s="70" t="s">
        <v>24</v>
      </c>
      <c r="AF4" s="70" t="s">
        <v>25</v>
      </c>
      <c r="AG4" s="70" t="s">
        <v>23</v>
      </c>
      <c r="AH4" s="70" t="s">
        <v>24</v>
      </c>
      <c r="AI4" s="70" t="s">
        <v>25</v>
      </c>
      <c r="AJ4" s="70" t="s">
        <v>23</v>
      </c>
      <c r="AK4" s="70" t="s">
        <v>24</v>
      </c>
      <c r="AL4" s="70" t="s">
        <v>25</v>
      </c>
      <c r="AM4" s="70" t="s">
        <v>23</v>
      </c>
      <c r="AN4" s="70" t="s">
        <v>24</v>
      </c>
      <c r="AO4" s="70" t="s">
        <v>25</v>
      </c>
      <c r="AP4" s="70" t="s">
        <v>23</v>
      </c>
      <c r="AQ4" s="70" t="s">
        <v>24</v>
      </c>
      <c r="AR4" s="70" t="s">
        <v>25</v>
      </c>
      <c r="AS4" s="88" t="s">
        <v>79</v>
      </c>
      <c r="AT4" s="84" t="s">
        <v>6</v>
      </c>
      <c r="AU4" s="62" t="s">
        <v>80</v>
      </c>
      <c r="AV4" s="62" t="s">
        <v>163</v>
      </c>
    </row>
    <row r="5" spans="1:49">
      <c r="A5" s="67"/>
      <c r="B5" s="67"/>
      <c r="C5" s="67" t="s">
        <v>141</v>
      </c>
      <c r="D5" s="71" t="s">
        <v>129</v>
      </c>
      <c r="E5" s="72"/>
      <c r="F5" s="71"/>
      <c r="G5" s="71"/>
      <c r="H5" s="73">
        <f t="shared" ref="H5:H20" si="0">IF(G5&gt;0,AVERAGE(F5:G5),F5)</f>
        <v>0</v>
      </c>
      <c r="I5" s="75"/>
      <c r="J5" s="75"/>
      <c r="K5" s="73">
        <f t="shared" ref="K5:K20" si="1">IF(J5&gt;0,AVERAGE(I5:J5),I5)</f>
        <v>0</v>
      </c>
      <c r="L5" s="76"/>
      <c r="M5" s="76"/>
      <c r="N5" s="73">
        <f t="shared" ref="N5:N20" si="2">IF(M5&gt;0,AVERAGE(L5:M5),L5)</f>
        <v>0</v>
      </c>
      <c r="O5" s="77"/>
      <c r="P5" s="77"/>
      <c r="Q5" s="73">
        <f t="shared" ref="Q5:Q20" si="3">IF(P5&gt;0,AVERAGE(O5:P5),O5)</f>
        <v>0</v>
      </c>
      <c r="R5" s="77"/>
      <c r="S5" s="77"/>
      <c r="T5" s="73">
        <f t="shared" ref="T5:T20" si="4">IF(S5&gt;0,AVERAGE(R5:S5),R5)</f>
        <v>0</v>
      </c>
      <c r="U5" s="79"/>
      <c r="V5" s="71"/>
      <c r="W5" s="73">
        <f t="shared" ref="W5:W20" si="5">IF(V5&gt;0,AVERAGE(U5:V5),U5)</f>
        <v>0</v>
      </c>
      <c r="X5" s="80"/>
      <c r="Y5" s="81"/>
      <c r="Z5" s="73">
        <f t="shared" ref="Z5:Z20" si="6">IF(Y5&gt;0,AVERAGE(X5:Y5),X5)</f>
        <v>0</v>
      </c>
      <c r="AA5" s="82"/>
      <c r="AB5" s="81"/>
      <c r="AC5" s="73">
        <f t="shared" ref="AC5:AC20" si="7">IF(AB5&gt;0,AVERAGE(AA5:AB5),AA5)</f>
        <v>0</v>
      </c>
      <c r="AD5" s="71"/>
      <c r="AE5" s="71"/>
      <c r="AF5" s="73">
        <f t="shared" ref="AF5:AF20" si="8">IF(AE5&gt;0,AVERAGE(AD5:AE5),AD5)</f>
        <v>0</v>
      </c>
      <c r="AG5" s="71"/>
      <c r="AH5" s="71"/>
      <c r="AI5" s="73">
        <f t="shared" ref="AI5:AI20" si="9">IF(AH5&gt;0,AVERAGE(AG5:AH5),AG5)</f>
        <v>0</v>
      </c>
      <c r="AJ5" s="75"/>
      <c r="AK5" s="75"/>
      <c r="AL5" s="73">
        <f t="shared" ref="AL5:AL20" si="10">IF(AK5&gt;0,AVERAGE(AJ5:AK5),AJ5)</f>
        <v>0</v>
      </c>
      <c r="AM5" s="83"/>
      <c r="AN5" s="83"/>
      <c r="AO5" s="73">
        <f t="shared" ref="AO5:AO20" si="11">IF(AN5&gt;0,AVERAGE(AM5:AN5),AM5)</f>
        <v>0</v>
      </c>
      <c r="AP5" s="71"/>
      <c r="AQ5" s="71"/>
      <c r="AR5" s="73">
        <f t="shared" ref="AR5:AR20" si="12">IF(AQ5&gt;0,AVERAGE(AP5:AQ5),AP5)</f>
        <v>0</v>
      </c>
      <c r="AS5" s="89">
        <f t="shared" ref="AS5:AS20" si="13">SUMPRODUCT(F5:AR5,$F$3:$AR$3)/SUM($F$3:$AR$3)</f>
        <v>0</v>
      </c>
      <c r="AT5" s="90">
        <f t="shared" ref="AT5:AT20" si="14">RANK(AU5,$AU$5:$AU$20)</f>
        <v>1</v>
      </c>
      <c r="AU5" s="91">
        <f>AVERAGE(AS5,[1]Semestre1!AM5)</f>
        <v>8.86354166666667</v>
      </c>
      <c r="AV5" s="92"/>
      <c r="AW5" s="95"/>
    </row>
    <row r="6" spans="1:49">
      <c r="A6" s="67"/>
      <c r="B6" s="67"/>
      <c r="C6" s="67" t="s">
        <v>128</v>
      </c>
      <c r="D6" s="71" t="s">
        <v>129</v>
      </c>
      <c r="E6" s="72"/>
      <c r="F6" s="71"/>
      <c r="G6" s="71"/>
      <c r="H6" s="73">
        <f t="shared" si="0"/>
        <v>0</v>
      </c>
      <c r="I6" s="78"/>
      <c r="J6" s="78"/>
      <c r="K6" s="73">
        <f t="shared" si="1"/>
        <v>0</v>
      </c>
      <c r="L6" s="76"/>
      <c r="M6" s="76"/>
      <c r="N6" s="73">
        <f t="shared" si="2"/>
        <v>0</v>
      </c>
      <c r="O6" s="77"/>
      <c r="P6" s="77"/>
      <c r="Q6" s="73">
        <f t="shared" si="3"/>
        <v>0</v>
      </c>
      <c r="R6" s="77"/>
      <c r="S6" s="77"/>
      <c r="T6" s="73">
        <f t="shared" si="4"/>
        <v>0</v>
      </c>
      <c r="U6" s="79"/>
      <c r="V6" s="71"/>
      <c r="W6" s="73">
        <f t="shared" si="5"/>
        <v>0</v>
      </c>
      <c r="X6" s="80"/>
      <c r="Y6" s="81"/>
      <c r="Z6" s="73">
        <f t="shared" si="6"/>
        <v>0</v>
      </c>
      <c r="AA6" s="82"/>
      <c r="AB6" s="81"/>
      <c r="AC6" s="73">
        <f t="shared" si="7"/>
        <v>0</v>
      </c>
      <c r="AD6" s="71"/>
      <c r="AE6" s="71"/>
      <c r="AF6" s="73">
        <f t="shared" si="8"/>
        <v>0</v>
      </c>
      <c r="AG6" s="71"/>
      <c r="AH6" s="71"/>
      <c r="AI6" s="73">
        <f t="shared" si="9"/>
        <v>0</v>
      </c>
      <c r="AJ6" s="78"/>
      <c r="AK6" s="78"/>
      <c r="AL6" s="73">
        <f t="shared" si="10"/>
        <v>0</v>
      </c>
      <c r="AM6" s="83"/>
      <c r="AN6" s="83"/>
      <c r="AO6" s="73">
        <f t="shared" si="11"/>
        <v>0</v>
      </c>
      <c r="AP6" s="71"/>
      <c r="AQ6" s="71"/>
      <c r="AR6" s="73">
        <f t="shared" si="12"/>
        <v>0</v>
      </c>
      <c r="AS6" s="89">
        <f t="shared" si="13"/>
        <v>0</v>
      </c>
      <c r="AT6" s="90">
        <f t="shared" si="14"/>
        <v>2</v>
      </c>
      <c r="AU6" s="91">
        <f>AVERAGE(AS6,[1]Semestre1!AM6)</f>
        <v>8.50208333333333</v>
      </c>
      <c r="AV6" s="92"/>
      <c r="AW6" s="95"/>
    </row>
    <row r="7" spans="1:49">
      <c r="A7" s="67"/>
      <c r="B7" s="67"/>
      <c r="C7" s="67" t="s">
        <v>135</v>
      </c>
      <c r="D7" s="71" t="s">
        <v>129</v>
      </c>
      <c r="E7" s="72"/>
      <c r="F7" s="71"/>
      <c r="G7" s="71"/>
      <c r="H7" s="73">
        <f t="shared" si="0"/>
        <v>0</v>
      </c>
      <c r="I7" s="75"/>
      <c r="J7" s="75"/>
      <c r="K7" s="73">
        <f t="shared" si="1"/>
        <v>0</v>
      </c>
      <c r="L7" s="76"/>
      <c r="M7" s="76"/>
      <c r="N7" s="73">
        <f t="shared" si="2"/>
        <v>0</v>
      </c>
      <c r="O7" s="77"/>
      <c r="P7" s="77"/>
      <c r="Q7" s="73">
        <f t="shared" si="3"/>
        <v>0</v>
      </c>
      <c r="R7" s="77"/>
      <c r="S7" s="77"/>
      <c r="T7" s="73">
        <f t="shared" si="4"/>
        <v>0</v>
      </c>
      <c r="U7" s="79"/>
      <c r="V7" s="71"/>
      <c r="W7" s="73">
        <f t="shared" si="5"/>
        <v>0</v>
      </c>
      <c r="X7" s="80"/>
      <c r="Y7" s="81"/>
      <c r="Z7" s="73">
        <f t="shared" si="6"/>
        <v>0</v>
      </c>
      <c r="AA7" s="82"/>
      <c r="AB7" s="81"/>
      <c r="AC7" s="73">
        <f t="shared" si="7"/>
        <v>0</v>
      </c>
      <c r="AD7" s="71"/>
      <c r="AE7" s="71"/>
      <c r="AF7" s="73">
        <f t="shared" si="8"/>
        <v>0</v>
      </c>
      <c r="AG7" s="71"/>
      <c r="AH7" s="71"/>
      <c r="AI7" s="73">
        <f t="shared" si="9"/>
        <v>0</v>
      </c>
      <c r="AJ7" s="75"/>
      <c r="AK7" s="75"/>
      <c r="AL7" s="73">
        <f t="shared" si="10"/>
        <v>0</v>
      </c>
      <c r="AM7" s="83"/>
      <c r="AN7" s="83"/>
      <c r="AO7" s="73">
        <f t="shared" si="11"/>
        <v>0</v>
      </c>
      <c r="AP7" s="71"/>
      <c r="AQ7" s="71"/>
      <c r="AR7" s="73">
        <f t="shared" si="12"/>
        <v>0</v>
      </c>
      <c r="AS7" s="89">
        <f t="shared" si="13"/>
        <v>0</v>
      </c>
      <c r="AT7" s="90">
        <f t="shared" si="14"/>
        <v>3</v>
      </c>
      <c r="AU7" s="91">
        <f>AVERAGE(AS7,[1]Semestre1!AM7)</f>
        <v>8.25625</v>
      </c>
      <c r="AV7" s="92"/>
      <c r="AW7" s="95"/>
    </row>
    <row r="8" spans="1:49">
      <c r="A8" s="67"/>
      <c r="B8" s="67"/>
      <c r="C8" s="67" t="s">
        <v>133</v>
      </c>
      <c r="D8" s="71" t="s">
        <v>129</v>
      </c>
      <c r="E8" s="72"/>
      <c r="F8" s="71"/>
      <c r="G8" s="71"/>
      <c r="H8" s="73">
        <f t="shared" si="0"/>
        <v>0</v>
      </c>
      <c r="I8" s="75"/>
      <c r="J8" s="75"/>
      <c r="K8" s="73">
        <f t="shared" si="1"/>
        <v>0</v>
      </c>
      <c r="L8" s="76"/>
      <c r="M8" s="76"/>
      <c r="N8" s="73">
        <f t="shared" si="2"/>
        <v>0</v>
      </c>
      <c r="O8" s="77"/>
      <c r="P8" s="77"/>
      <c r="Q8" s="73">
        <f t="shared" si="3"/>
        <v>0</v>
      </c>
      <c r="R8" s="77"/>
      <c r="S8" s="77"/>
      <c r="T8" s="73">
        <f t="shared" si="4"/>
        <v>0</v>
      </c>
      <c r="U8" s="79"/>
      <c r="V8" s="71"/>
      <c r="W8" s="73">
        <f t="shared" si="5"/>
        <v>0</v>
      </c>
      <c r="X8" s="80"/>
      <c r="Y8" s="81"/>
      <c r="Z8" s="73">
        <f t="shared" si="6"/>
        <v>0</v>
      </c>
      <c r="AA8" s="82"/>
      <c r="AB8" s="81"/>
      <c r="AC8" s="73">
        <f t="shared" si="7"/>
        <v>0</v>
      </c>
      <c r="AD8" s="71"/>
      <c r="AE8" s="71"/>
      <c r="AF8" s="73">
        <f t="shared" si="8"/>
        <v>0</v>
      </c>
      <c r="AG8" s="71"/>
      <c r="AH8" s="71"/>
      <c r="AI8" s="73">
        <f t="shared" si="9"/>
        <v>0</v>
      </c>
      <c r="AJ8" s="75"/>
      <c r="AK8" s="75"/>
      <c r="AL8" s="73">
        <f t="shared" si="10"/>
        <v>0</v>
      </c>
      <c r="AM8" s="83"/>
      <c r="AN8" s="83"/>
      <c r="AO8" s="73">
        <f t="shared" si="11"/>
        <v>0</v>
      </c>
      <c r="AP8" s="71"/>
      <c r="AQ8" s="71"/>
      <c r="AR8" s="73">
        <f t="shared" si="12"/>
        <v>0</v>
      </c>
      <c r="AS8" s="89">
        <f t="shared" si="13"/>
        <v>0</v>
      </c>
      <c r="AT8" s="90">
        <f t="shared" si="14"/>
        <v>4</v>
      </c>
      <c r="AU8" s="91">
        <f>AVERAGE(AS8,[1]Semestre1!AM8)</f>
        <v>8.02916666666667</v>
      </c>
      <c r="AV8" s="92"/>
      <c r="AW8" s="95"/>
    </row>
    <row r="9" spans="1:49">
      <c r="A9" s="67"/>
      <c r="B9" s="67"/>
      <c r="C9" s="67" t="s">
        <v>139</v>
      </c>
      <c r="D9" s="71" t="s">
        <v>129</v>
      </c>
      <c r="E9" s="72"/>
      <c r="F9" s="71"/>
      <c r="G9" s="71"/>
      <c r="H9" s="73">
        <f t="shared" si="0"/>
        <v>0</v>
      </c>
      <c r="I9" s="75"/>
      <c r="J9" s="75"/>
      <c r="K9" s="73">
        <f t="shared" si="1"/>
        <v>0</v>
      </c>
      <c r="L9" s="76"/>
      <c r="M9" s="76"/>
      <c r="N9" s="73">
        <f t="shared" si="2"/>
        <v>0</v>
      </c>
      <c r="O9" s="77"/>
      <c r="P9" s="77"/>
      <c r="Q9" s="73">
        <f t="shared" si="3"/>
        <v>0</v>
      </c>
      <c r="R9" s="77"/>
      <c r="S9" s="77"/>
      <c r="T9" s="73">
        <f t="shared" si="4"/>
        <v>0</v>
      </c>
      <c r="U9" s="79"/>
      <c r="V9" s="71"/>
      <c r="W9" s="73">
        <f t="shared" si="5"/>
        <v>0</v>
      </c>
      <c r="X9" s="80"/>
      <c r="Y9" s="81"/>
      <c r="Z9" s="73">
        <f t="shared" si="6"/>
        <v>0</v>
      </c>
      <c r="AA9" s="82"/>
      <c r="AB9" s="81"/>
      <c r="AC9" s="73">
        <f t="shared" si="7"/>
        <v>0</v>
      </c>
      <c r="AD9" s="71"/>
      <c r="AE9" s="71"/>
      <c r="AF9" s="73">
        <f t="shared" si="8"/>
        <v>0</v>
      </c>
      <c r="AG9" s="71"/>
      <c r="AH9" s="71"/>
      <c r="AI9" s="73">
        <f t="shared" si="9"/>
        <v>0</v>
      </c>
      <c r="AJ9" s="75"/>
      <c r="AK9" s="75"/>
      <c r="AL9" s="73">
        <f t="shared" si="10"/>
        <v>0</v>
      </c>
      <c r="AM9" s="83"/>
      <c r="AN9" s="83"/>
      <c r="AO9" s="73">
        <f t="shared" si="11"/>
        <v>0</v>
      </c>
      <c r="AP9" s="71"/>
      <c r="AQ9" s="71"/>
      <c r="AR9" s="73">
        <f t="shared" si="12"/>
        <v>0</v>
      </c>
      <c r="AS9" s="89">
        <f t="shared" si="13"/>
        <v>0</v>
      </c>
      <c r="AT9" s="90">
        <f t="shared" si="14"/>
        <v>5</v>
      </c>
      <c r="AU9" s="91">
        <f>AVERAGE(AS9,[1]Semestre1!AM9)</f>
        <v>7.99791666666667</v>
      </c>
      <c r="AV9" s="92"/>
      <c r="AW9" s="95"/>
    </row>
    <row r="10" spans="1:49">
      <c r="A10" s="67"/>
      <c r="B10" s="67"/>
      <c r="C10" s="67" t="s">
        <v>143</v>
      </c>
      <c r="D10" s="71" t="s">
        <v>30</v>
      </c>
      <c r="E10" s="72"/>
      <c r="F10" s="71"/>
      <c r="G10" s="71"/>
      <c r="H10" s="73">
        <f t="shared" si="0"/>
        <v>0</v>
      </c>
      <c r="I10" s="75"/>
      <c r="J10" s="75"/>
      <c r="K10" s="73">
        <f t="shared" si="1"/>
        <v>0</v>
      </c>
      <c r="L10" s="76"/>
      <c r="M10" s="76"/>
      <c r="N10" s="73">
        <f t="shared" si="2"/>
        <v>0</v>
      </c>
      <c r="O10" s="77"/>
      <c r="P10" s="77"/>
      <c r="Q10" s="73">
        <f t="shared" si="3"/>
        <v>0</v>
      </c>
      <c r="R10" s="77"/>
      <c r="S10" s="77"/>
      <c r="T10" s="73">
        <f t="shared" si="4"/>
        <v>0</v>
      </c>
      <c r="U10" s="79"/>
      <c r="V10" s="71"/>
      <c r="W10" s="73">
        <f t="shared" si="5"/>
        <v>0</v>
      </c>
      <c r="X10" s="80"/>
      <c r="Y10" s="81"/>
      <c r="Z10" s="73">
        <f t="shared" si="6"/>
        <v>0</v>
      </c>
      <c r="AA10" s="82"/>
      <c r="AB10" s="81"/>
      <c r="AC10" s="73">
        <f t="shared" si="7"/>
        <v>0</v>
      </c>
      <c r="AD10" s="71"/>
      <c r="AE10" s="71"/>
      <c r="AF10" s="73">
        <f t="shared" si="8"/>
        <v>0</v>
      </c>
      <c r="AG10" s="71"/>
      <c r="AH10" s="71"/>
      <c r="AI10" s="73">
        <f t="shared" si="9"/>
        <v>0</v>
      </c>
      <c r="AJ10" s="75"/>
      <c r="AK10" s="75"/>
      <c r="AL10" s="73">
        <f t="shared" si="10"/>
        <v>0</v>
      </c>
      <c r="AM10" s="83"/>
      <c r="AN10" s="83"/>
      <c r="AO10" s="73">
        <f t="shared" si="11"/>
        <v>0</v>
      </c>
      <c r="AP10" s="71"/>
      <c r="AQ10" s="71"/>
      <c r="AR10" s="73">
        <f t="shared" si="12"/>
        <v>0</v>
      </c>
      <c r="AS10" s="89">
        <f t="shared" si="13"/>
        <v>0</v>
      </c>
      <c r="AT10" s="90">
        <f t="shared" si="14"/>
        <v>6</v>
      </c>
      <c r="AU10" s="91">
        <f>AVERAGE(AS10,[1]Semestre1!AM10)</f>
        <v>7.91979166666667</v>
      </c>
      <c r="AV10" s="92"/>
      <c r="AW10" s="95"/>
    </row>
    <row r="11" spans="1:49">
      <c r="A11" s="67"/>
      <c r="B11" s="67"/>
      <c r="C11" s="67" t="s">
        <v>132</v>
      </c>
      <c r="D11" s="71" t="s">
        <v>129</v>
      </c>
      <c r="E11" s="72"/>
      <c r="F11" s="71"/>
      <c r="G11" s="71"/>
      <c r="H11" s="73">
        <f t="shared" si="0"/>
        <v>0</v>
      </c>
      <c r="I11" s="75"/>
      <c r="J11" s="75"/>
      <c r="K11" s="73">
        <f t="shared" si="1"/>
        <v>0</v>
      </c>
      <c r="L11" s="76"/>
      <c r="M11" s="76"/>
      <c r="N11" s="73">
        <f t="shared" si="2"/>
        <v>0</v>
      </c>
      <c r="O11" s="77"/>
      <c r="P11" s="77"/>
      <c r="Q11" s="73">
        <f t="shared" si="3"/>
        <v>0</v>
      </c>
      <c r="R11" s="77"/>
      <c r="S11" s="77"/>
      <c r="T11" s="73">
        <f t="shared" si="4"/>
        <v>0</v>
      </c>
      <c r="U11" s="79"/>
      <c r="V11" s="71"/>
      <c r="W11" s="73">
        <f t="shared" si="5"/>
        <v>0</v>
      </c>
      <c r="X11" s="80"/>
      <c r="Y11" s="81"/>
      <c r="Z11" s="73">
        <f t="shared" si="6"/>
        <v>0</v>
      </c>
      <c r="AA11" s="82"/>
      <c r="AB11" s="81"/>
      <c r="AC11" s="73">
        <f t="shared" si="7"/>
        <v>0</v>
      </c>
      <c r="AD11" s="71"/>
      <c r="AE11" s="71"/>
      <c r="AF11" s="73">
        <f t="shared" si="8"/>
        <v>0</v>
      </c>
      <c r="AG11" s="71"/>
      <c r="AH11" s="71"/>
      <c r="AI11" s="73">
        <f t="shared" si="9"/>
        <v>0</v>
      </c>
      <c r="AJ11" s="75"/>
      <c r="AK11" s="75"/>
      <c r="AL11" s="73">
        <f t="shared" si="10"/>
        <v>0</v>
      </c>
      <c r="AM11" s="83"/>
      <c r="AN11" s="83"/>
      <c r="AO11" s="73">
        <f t="shared" si="11"/>
        <v>0</v>
      </c>
      <c r="AP11" s="71"/>
      <c r="AQ11" s="71"/>
      <c r="AR11" s="73">
        <f t="shared" si="12"/>
        <v>0</v>
      </c>
      <c r="AS11" s="89">
        <f t="shared" si="13"/>
        <v>0</v>
      </c>
      <c r="AT11" s="90">
        <f t="shared" si="14"/>
        <v>7</v>
      </c>
      <c r="AU11" s="91">
        <f>AVERAGE(AS11,[1]Semestre1!AM11)</f>
        <v>7.91354166666667</v>
      </c>
      <c r="AV11" s="92"/>
      <c r="AW11" s="95"/>
    </row>
    <row r="12" spans="1:49">
      <c r="A12" s="67"/>
      <c r="B12" s="67"/>
      <c r="C12" s="67" t="s">
        <v>130</v>
      </c>
      <c r="D12" s="71" t="s">
        <v>30</v>
      </c>
      <c r="E12" s="72"/>
      <c r="F12" s="71"/>
      <c r="G12" s="71"/>
      <c r="H12" s="73">
        <f t="shared" si="0"/>
        <v>0</v>
      </c>
      <c r="I12" s="75"/>
      <c r="J12" s="75"/>
      <c r="K12" s="73">
        <f t="shared" si="1"/>
        <v>0</v>
      </c>
      <c r="L12" s="76"/>
      <c r="M12" s="76"/>
      <c r="N12" s="73">
        <f t="shared" si="2"/>
        <v>0</v>
      </c>
      <c r="O12" s="77"/>
      <c r="P12" s="77"/>
      <c r="Q12" s="73">
        <f t="shared" si="3"/>
        <v>0</v>
      </c>
      <c r="R12" s="77"/>
      <c r="S12" s="77"/>
      <c r="T12" s="73">
        <f t="shared" si="4"/>
        <v>0</v>
      </c>
      <c r="U12" s="79"/>
      <c r="V12" s="71"/>
      <c r="W12" s="73">
        <f t="shared" si="5"/>
        <v>0</v>
      </c>
      <c r="X12" s="80"/>
      <c r="Y12" s="81"/>
      <c r="Z12" s="73">
        <f t="shared" si="6"/>
        <v>0</v>
      </c>
      <c r="AA12" s="82"/>
      <c r="AB12" s="81"/>
      <c r="AC12" s="73">
        <f t="shared" si="7"/>
        <v>0</v>
      </c>
      <c r="AD12" s="71"/>
      <c r="AE12" s="71"/>
      <c r="AF12" s="73">
        <f t="shared" si="8"/>
        <v>0</v>
      </c>
      <c r="AG12" s="71"/>
      <c r="AH12" s="71"/>
      <c r="AI12" s="73">
        <f t="shared" si="9"/>
        <v>0</v>
      </c>
      <c r="AJ12" s="75"/>
      <c r="AK12" s="75"/>
      <c r="AL12" s="73">
        <f t="shared" si="10"/>
        <v>0</v>
      </c>
      <c r="AM12" s="83"/>
      <c r="AN12" s="83"/>
      <c r="AO12" s="73">
        <f t="shared" si="11"/>
        <v>0</v>
      </c>
      <c r="AP12" s="71"/>
      <c r="AQ12" s="71"/>
      <c r="AR12" s="73">
        <f t="shared" si="12"/>
        <v>0</v>
      </c>
      <c r="AS12" s="89">
        <f t="shared" si="13"/>
        <v>0</v>
      </c>
      <c r="AT12" s="90">
        <f t="shared" si="14"/>
        <v>8</v>
      </c>
      <c r="AU12" s="91">
        <f>AVERAGE(AS12,[1]Semestre1!AM12)</f>
        <v>7.83854166666667</v>
      </c>
      <c r="AV12" s="92"/>
      <c r="AW12" s="95"/>
    </row>
    <row r="13" spans="1:49">
      <c r="A13" s="67"/>
      <c r="B13" s="67"/>
      <c r="C13" s="67" t="s">
        <v>142</v>
      </c>
      <c r="D13" s="71" t="s">
        <v>129</v>
      </c>
      <c r="E13" s="72"/>
      <c r="F13" s="71"/>
      <c r="G13" s="71"/>
      <c r="H13" s="73">
        <f t="shared" si="0"/>
        <v>0</v>
      </c>
      <c r="I13" s="75"/>
      <c r="J13" s="75"/>
      <c r="K13" s="73">
        <f t="shared" si="1"/>
        <v>0</v>
      </c>
      <c r="L13" s="76"/>
      <c r="M13" s="76"/>
      <c r="N13" s="73">
        <f t="shared" si="2"/>
        <v>0</v>
      </c>
      <c r="O13" s="77"/>
      <c r="P13" s="77"/>
      <c r="Q13" s="73">
        <f t="shared" si="3"/>
        <v>0</v>
      </c>
      <c r="R13" s="77"/>
      <c r="S13" s="77"/>
      <c r="T13" s="73">
        <f t="shared" si="4"/>
        <v>0</v>
      </c>
      <c r="U13" s="79"/>
      <c r="V13" s="71"/>
      <c r="W13" s="73">
        <f t="shared" si="5"/>
        <v>0</v>
      </c>
      <c r="X13" s="80"/>
      <c r="Y13" s="81"/>
      <c r="Z13" s="73">
        <f t="shared" si="6"/>
        <v>0</v>
      </c>
      <c r="AA13" s="82"/>
      <c r="AB13" s="81"/>
      <c r="AC13" s="73">
        <f t="shared" si="7"/>
        <v>0</v>
      </c>
      <c r="AD13" s="71"/>
      <c r="AE13" s="71"/>
      <c r="AF13" s="73">
        <f t="shared" si="8"/>
        <v>0</v>
      </c>
      <c r="AG13" s="71"/>
      <c r="AH13" s="71"/>
      <c r="AI13" s="73">
        <f t="shared" si="9"/>
        <v>0</v>
      </c>
      <c r="AJ13" s="75"/>
      <c r="AK13" s="75"/>
      <c r="AL13" s="73">
        <f t="shared" si="10"/>
        <v>0</v>
      </c>
      <c r="AM13" s="83"/>
      <c r="AN13" s="83"/>
      <c r="AO13" s="73">
        <f t="shared" si="11"/>
        <v>0</v>
      </c>
      <c r="AP13" s="71"/>
      <c r="AQ13" s="71"/>
      <c r="AR13" s="73">
        <f t="shared" si="12"/>
        <v>0</v>
      </c>
      <c r="AS13" s="89">
        <f t="shared" si="13"/>
        <v>0</v>
      </c>
      <c r="AT13" s="90">
        <f t="shared" si="14"/>
        <v>9</v>
      </c>
      <c r="AU13" s="91">
        <f>AVERAGE(AS13,[1]Semestre1!AM13)</f>
        <v>7.76666666666667</v>
      </c>
      <c r="AV13" s="92"/>
      <c r="AW13" s="95"/>
    </row>
    <row r="14" spans="1:49">
      <c r="A14" s="67"/>
      <c r="B14" s="67"/>
      <c r="C14" s="67" t="s">
        <v>134</v>
      </c>
      <c r="D14" s="71" t="s">
        <v>129</v>
      </c>
      <c r="E14" s="72"/>
      <c r="F14" s="71"/>
      <c r="G14" s="71"/>
      <c r="H14" s="73">
        <f t="shared" si="0"/>
        <v>0</v>
      </c>
      <c r="I14" s="78"/>
      <c r="J14" s="78"/>
      <c r="K14" s="73">
        <f t="shared" si="1"/>
        <v>0</v>
      </c>
      <c r="L14" s="76"/>
      <c r="M14" s="76"/>
      <c r="N14" s="73">
        <f t="shared" si="2"/>
        <v>0</v>
      </c>
      <c r="O14" s="77"/>
      <c r="P14" s="77"/>
      <c r="Q14" s="73">
        <f t="shared" si="3"/>
        <v>0</v>
      </c>
      <c r="R14" s="77"/>
      <c r="S14" s="77"/>
      <c r="T14" s="73">
        <f t="shared" si="4"/>
        <v>0</v>
      </c>
      <c r="U14" s="79"/>
      <c r="V14" s="71"/>
      <c r="W14" s="73">
        <f t="shared" si="5"/>
        <v>0</v>
      </c>
      <c r="X14" s="80"/>
      <c r="Y14" s="81"/>
      <c r="Z14" s="73">
        <f t="shared" si="6"/>
        <v>0</v>
      </c>
      <c r="AA14" s="82"/>
      <c r="AB14" s="81"/>
      <c r="AC14" s="73">
        <f t="shared" si="7"/>
        <v>0</v>
      </c>
      <c r="AD14" s="71"/>
      <c r="AE14" s="71"/>
      <c r="AF14" s="73">
        <f t="shared" si="8"/>
        <v>0</v>
      </c>
      <c r="AG14" s="71"/>
      <c r="AH14" s="71"/>
      <c r="AI14" s="73">
        <f t="shared" si="9"/>
        <v>0</v>
      </c>
      <c r="AJ14" s="78"/>
      <c r="AK14" s="78"/>
      <c r="AL14" s="73">
        <f t="shared" si="10"/>
        <v>0</v>
      </c>
      <c r="AM14" s="83"/>
      <c r="AN14" s="83"/>
      <c r="AO14" s="73">
        <f t="shared" si="11"/>
        <v>0</v>
      </c>
      <c r="AP14" s="71"/>
      <c r="AQ14" s="71"/>
      <c r="AR14" s="73">
        <f t="shared" si="12"/>
        <v>0</v>
      </c>
      <c r="AS14" s="89">
        <f t="shared" si="13"/>
        <v>0</v>
      </c>
      <c r="AT14" s="90">
        <f t="shared" si="14"/>
        <v>10</v>
      </c>
      <c r="AU14" s="91">
        <f>AVERAGE(AS14,[1]Semestre1!AM14)</f>
        <v>7.76041666666667</v>
      </c>
      <c r="AV14" s="92"/>
      <c r="AW14" s="95"/>
    </row>
    <row r="15" s="61" customFormat="1" ht="20.25" spans="1:49">
      <c r="A15" s="67"/>
      <c r="B15" s="67"/>
      <c r="C15" s="67" t="s">
        <v>138</v>
      </c>
      <c r="D15" s="71" t="s">
        <v>30</v>
      </c>
      <c r="E15" s="72"/>
      <c r="F15" s="71"/>
      <c r="G15" s="71"/>
      <c r="H15" s="73">
        <f t="shared" si="0"/>
        <v>0</v>
      </c>
      <c r="I15" s="75"/>
      <c r="J15" s="75"/>
      <c r="K15" s="73">
        <f t="shared" si="1"/>
        <v>0</v>
      </c>
      <c r="L15" s="76"/>
      <c r="M15" s="76"/>
      <c r="N15" s="73">
        <f t="shared" si="2"/>
        <v>0</v>
      </c>
      <c r="O15" s="77"/>
      <c r="P15" s="77"/>
      <c r="Q15" s="73">
        <f t="shared" si="3"/>
        <v>0</v>
      </c>
      <c r="R15" s="77"/>
      <c r="S15" s="77"/>
      <c r="T15" s="73">
        <f t="shared" si="4"/>
        <v>0</v>
      </c>
      <c r="U15" s="79"/>
      <c r="V15" s="71"/>
      <c r="W15" s="73">
        <f t="shared" si="5"/>
        <v>0</v>
      </c>
      <c r="X15" s="80"/>
      <c r="Y15" s="81"/>
      <c r="Z15" s="73">
        <f t="shared" si="6"/>
        <v>0</v>
      </c>
      <c r="AA15" s="82"/>
      <c r="AB15" s="81"/>
      <c r="AC15" s="73">
        <f t="shared" si="7"/>
        <v>0</v>
      </c>
      <c r="AD15" s="71"/>
      <c r="AE15" s="71"/>
      <c r="AF15" s="73">
        <f t="shared" si="8"/>
        <v>0</v>
      </c>
      <c r="AG15" s="71"/>
      <c r="AH15" s="71"/>
      <c r="AI15" s="73">
        <f t="shared" si="9"/>
        <v>0</v>
      </c>
      <c r="AJ15" s="75"/>
      <c r="AK15" s="75"/>
      <c r="AL15" s="73">
        <f t="shared" si="10"/>
        <v>0</v>
      </c>
      <c r="AM15" s="83"/>
      <c r="AN15" s="83"/>
      <c r="AO15" s="73">
        <f t="shared" si="11"/>
        <v>0</v>
      </c>
      <c r="AP15" s="71"/>
      <c r="AQ15" s="71"/>
      <c r="AR15" s="73">
        <f t="shared" si="12"/>
        <v>0</v>
      </c>
      <c r="AS15" s="89">
        <f t="shared" si="13"/>
        <v>0</v>
      </c>
      <c r="AT15" s="90">
        <f t="shared" si="14"/>
        <v>11</v>
      </c>
      <c r="AU15" s="91">
        <f>AVERAGE(AS15,[1]Semestre1!AM15)</f>
        <v>7.6375</v>
      </c>
      <c r="AV15" s="93"/>
      <c r="AW15" s="93"/>
    </row>
    <row r="16" spans="1:47">
      <c r="A16" s="67"/>
      <c r="B16" s="67"/>
      <c r="C16" s="67" t="s">
        <v>137</v>
      </c>
      <c r="D16" s="71" t="s">
        <v>129</v>
      </c>
      <c r="E16" s="72"/>
      <c r="F16" s="71"/>
      <c r="G16" s="71"/>
      <c r="H16" s="73">
        <f t="shared" si="0"/>
        <v>0</v>
      </c>
      <c r="I16" s="78"/>
      <c r="J16" s="78"/>
      <c r="K16" s="73">
        <f t="shared" si="1"/>
        <v>0</v>
      </c>
      <c r="L16" s="76"/>
      <c r="M16" s="76"/>
      <c r="N16" s="73">
        <f t="shared" si="2"/>
        <v>0</v>
      </c>
      <c r="O16" s="77"/>
      <c r="P16" s="77"/>
      <c r="Q16" s="73">
        <f t="shared" si="3"/>
        <v>0</v>
      </c>
      <c r="R16" s="77"/>
      <c r="S16" s="77"/>
      <c r="T16" s="73">
        <f t="shared" si="4"/>
        <v>0</v>
      </c>
      <c r="U16" s="79"/>
      <c r="V16" s="71"/>
      <c r="W16" s="73">
        <f t="shared" si="5"/>
        <v>0</v>
      </c>
      <c r="X16" s="80"/>
      <c r="Y16" s="81"/>
      <c r="Z16" s="73">
        <f t="shared" si="6"/>
        <v>0</v>
      </c>
      <c r="AA16" s="82"/>
      <c r="AB16" s="81"/>
      <c r="AC16" s="73">
        <f t="shared" si="7"/>
        <v>0</v>
      </c>
      <c r="AD16" s="71"/>
      <c r="AE16" s="71"/>
      <c r="AF16" s="73">
        <f t="shared" si="8"/>
        <v>0</v>
      </c>
      <c r="AG16" s="71"/>
      <c r="AH16" s="71"/>
      <c r="AI16" s="73">
        <f t="shared" si="9"/>
        <v>0</v>
      </c>
      <c r="AJ16" s="78"/>
      <c r="AK16" s="78"/>
      <c r="AL16" s="73">
        <f t="shared" si="10"/>
        <v>0</v>
      </c>
      <c r="AM16" s="83"/>
      <c r="AN16" s="83"/>
      <c r="AO16" s="73">
        <f t="shared" si="11"/>
        <v>0</v>
      </c>
      <c r="AP16" s="71"/>
      <c r="AQ16" s="71"/>
      <c r="AR16" s="73">
        <f t="shared" si="12"/>
        <v>0</v>
      </c>
      <c r="AS16" s="89">
        <f t="shared" si="13"/>
        <v>0</v>
      </c>
      <c r="AT16" s="90">
        <f t="shared" si="14"/>
        <v>12</v>
      </c>
      <c r="AU16" s="91">
        <f>AVERAGE(AS16,[1]Semestre1!AM16)</f>
        <v>7.56354166666667</v>
      </c>
    </row>
    <row r="17" spans="1:47">
      <c r="A17" s="67"/>
      <c r="B17" s="67"/>
      <c r="C17" s="67" t="s">
        <v>136</v>
      </c>
      <c r="D17" s="71" t="s">
        <v>129</v>
      </c>
      <c r="E17" s="72"/>
      <c r="F17" s="71"/>
      <c r="G17" s="71"/>
      <c r="H17" s="73">
        <f t="shared" si="0"/>
        <v>0</v>
      </c>
      <c r="I17" s="75"/>
      <c r="J17" s="75"/>
      <c r="K17" s="73">
        <f t="shared" si="1"/>
        <v>0</v>
      </c>
      <c r="L17" s="76"/>
      <c r="M17" s="76"/>
      <c r="N17" s="73">
        <f t="shared" si="2"/>
        <v>0</v>
      </c>
      <c r="O17" s="77"/>
      <c r="P17" s="77"/>
      <c r="Q17" s="73">
        <f t="shared" si="3"/>
        <v>0</v>
      </c>
      <c r="R17" s="77"/>
      <c r="S17" s="77"/>
      <c r="T17" s="73">
        <f t="shared" si="4"/>
        <v>0</v>
      </c>
      <c r="U17" s="79"/>
      <c r="V17" s="71"/>
      <c r="W17" s="73">
        <f t="shared" si="5"/>
        <v>0</v>
      </c>
      <c r="X17" s="80"/>
      <c r="Y17" s="81"/>
      <c r="Z17" s="73">
        <f t="shared" si="6"/>
        <v>0</v>
      </c>
      <c r="AA17" s="82"/>
      <c r="AB17" s="81"/>
      <c r="AC17" s="73">
        <f t="shared" si="7"/>
        <v>0</v>
      </c>
      <c r="AD17" s="71"/>
      <c r="AE17" s="71"/>
      <c r="AF17" s="73">
        <f t="shared" si="8"/>
        <v>0</v>
      </c>
      <c r="AG17" s="71"/>
      <c r="AH17" s="71"/>
      <c r="AI17" s="73">
        <f t="shared" si="9"/>
        <v>0</v>
      </c>
      <c r="AJ17" s="75"/>
      <c r="AK17" s="75"/>
      <c r="AL17" s="73">
        <f t="shared" si="10"/>
        <v>0</v>
      </c>
      <c r="AM17" s="83"/>
      <c r="AN17" s="83"/>
      <c r="AO17" s="73">
        <f t="shared" si="11"/>
        <v>0</v>
      </c>
      <c r="AP17" s="71"/>
      <c r="AQ17" s="71"/>
      <c r="AR17" s="73">
        <f t="shared" si="12"/>
        <v>0</v>
      </c>
      <c r="AS17" s="89">
        <f t="shared" si="13"/>
        <v>0</v>
      </c>
      <c r="AT17" s="90">
        <f t="shared" si="14"/>
        <v>13</v>
      </c>
      <c r="AU17" s="91">
        <f>AVERAGE(AS17,[1]Semestre1!AM17)</f>
        <v>7.540625</v>
      </c>
    </row>
    <row r="18" spans="1:47">
      <c r="A18" s="67"/>
      <c r="B18" s="67"/>
      <c r="C18" s="67" t="s">
        <v>140</v>
      </c>
      <c r="D18" s="71" t="s">
        <v>30</v>
      </c>
      <c r="E18" s="72"/>
      <c r="F18" s="71"/>
      <c r="G18" s="71"/>
      <c r="H18" s="73">
        <f t="shared" si="0"/>
        <v>0</v>
      </c>
      <c r="I18" s="75"/>
      <c r="J18" s="75"/>
      <c r="K18" s="73">
        <f t="shared" si="1"/>
        <v>0</v>
      </c>
      <c r="L18" s="76"/>
      <c r="M18" s="76"/>
      <c r="N18" s="73">
        <f t="shared" si="2"/>
        <v>0</v>
      </c>
      <c r="O18" s="77"/>
      <c r="P18" s="77"/>
      <c r="Q18" s="73">
        <f t="shared" si="3"/>
        <v>0</v>
      </c>
      <c r="R18" s="77"/>
      <c r="S18" s="77"/>
      <c r="T18" s="73">
        <f t="shared" si="4"/>
        <v>0</v>
      </c>
      <c r="U18" s="79"/>
      <c r="V18" s="71"/>
      <c r="W18" s="73">
        <f t="shared" si="5"/>
        <v>0</v>
      </c>
      <c r="X18" s="80"/>
      <c r="Y18" s="81"/>
      <c r="Z18" s="73">
        <f t="shared" si="6"/>
        <v>0</v>
      </c>
      <c r="AA18" s="82"/>
      <c r="AB18" s="81"/>
      <c r="AC18" s="73">
        <f t="shared" si="7"/>
        <v>0</v>
      </c>
      <c r="AD18" s="71"/>
      <c r="AE18" s="71"/>
      <c r="AF18" s="73">
        <f t="shared" si="8"/>
        <v>0</v>
      </c>
      <c r="AG18" s="71"/>
      <c r="AH18" s="71"/>
      <c r="AI18" s="73">
        <f t="shared" si="9"/>
        <v>0</v>
      </c>
      <c r="AJ18" s="75"/>
      <c r="AK18" s="75"/>
      <c r="AL18" s="73">
        <f t="shared" si="10"/>
        <v>0</v>
      </c>
      <c r="AM18" s="83"/>
      <c r="AN18" s="83"/>
      <c r="AO18" s="73">
        <f t="shared" si="11"/>
        <v>0</v>
      </c>
      <c r="AP18" s="71"/>
      <c r="AQ18" s="71"/>
      <c r="AR18" s="73">
        <f t="shared" si="12"/>
        <v>0</v>
      </c>
      <c r="AS18" s="89">
        <f t="shared" si="13"/>
        <v>0</v>
      </c>
      <c r="AT18" s="90">
        <f t="shared" si="14"/>
        <v>14</v>
      </c>
      <c r="AU18" s="91">
        <f>AVERAGE(AS18,[1]Semestre1!AM18)</f>
        <v>7.259375</v>
      </c>
    </row>
    <row r="19" spans="1:47">
      <c r="A19" s="67"/>
      <c r="B19" s="67"/>
      <c r="C19" s="67" t="s">
        <v>144</v>
      </c>
      <c r="D19" s="71" t="s">
        <v>145</v>
      </c>
      <c r="E19" s="72"/>
      <c r="F19" s="71"/>
      <c r="G19" s="71"/>
      <c r="H19" s="73">
        <f t="shared" si="0"/>
        <v>0</v>
      </c>
      <c r="I19" s="75"/>
      <c r="J19" s="75"/>
      <c r="K19" s="73">
        <f t="shared" si="1"/>
        <v>0</v>
      </c>
      <c r="L19" s="76"/>
      <c r="M19" s="76"/>
      <c r="N19" s="73">
        <f t="shared" si="2"/>
        <v>0</v>
      </c>
      <c r="O19" s="77"/>
      <c r="P19" s="77"/>
      <c r="Q19" s="73">
        <f t="shared" si="3"/>
        <v>0</v>
      </c>
      <c r="R19" s="77"/>
      <c r="S19" s="77"/>
      <c r="T19" s="73">
        <f t="shared" si="4"/>
        <v>0</v>
      </c>
      <c r="U19" s="79"/>
      <c r="V19" s="71"/>
      <c r="W19" s="73">
        <f t="shared" si="5"/>
        <v>0</v>
      </c>
      <c r="X19" s="80"/>
      <c r="Y19" s="81"/>
      <c r="Z19" s="73">
        <f t="shared" si="6"/>
        <v>0</v>
      </c>
      <c r="AA19" s="82"/>
      <c r="AB19" s="81"/>
      <c r="AC19" s="73">
        <f t="shared" si="7"/>
        <v>0</v>
      </c>
      <c r="AD19" s="71"/>
      <c r="AE19" s="71"/>
      <c r="AF19" s="73">
        <f t="shared" si="8"/>
        <v>0</v>
      </c>
      <c r="AG19" s="71"/>
      <c r="AH19" s="71"/>
      <c r="AI19" s="73">
        <f t="shared" si="9"/>
        <v>0</v>
      </c>
      <c r="AJ19" s="75"/>
      <c r="AK19" s="75"/>
      <c r="AL19" s="73">
        <f t="shared" si="10"/>
        <v>0</v>
      </c>
      <c r="AM19" s="83"/>
      <c r="AN19" s="83"/>
      <c r="AO19" s="73">
        <f t="shared" si="11"/>
        <v>0</v>
      </c>
      <c r="AP19" s="71"/>
      <c r="AQ19" s="71"/>
      <c r="AR19" s="73">
        <f t="shared" si="12"/>
        <v>0</v>
      </c>
      <c r="AS19" s="89">
        <f t="shared" si="13"/>
        <v>0</v>
      </c>
      <c r="AT19" s="90">
        <f t="shared" si="14"/>
        <v>15</v>
      </c>
      <c r="AU19" s="91">
        <f>AVERAGE(AS19,[1]Semestre1!AM19)</f>
        <v>6.85</v>
      </c>
    </row>
    <row r="20" spans="1:47">
      <c r="A20" s="67"/>
      <c r="B20" s="67"/>
      <c r="C20" s="67" t="s">
        <v>131</v>
      </c>
      <c r="D20" s="71" t="s">
        <v>129</v>
      </c>
      <c r="E20" s="72"/>
      <c r="F20" s="71"/>
      <c r="G20" s="71"/>
      <c r="H20" s="73">
        <f t="shared" si="0"/>
        <v>0</v>
      </c>
      <c r="I20" s="75"/>
      <c r="J20" s="75"/>
      <c r="K20" s="73">
        <f t="shared" si="1"/>
        <v>0</v>
      </c>
      <c r="L20" s="76"/>
      <c r="M20" s="76"/>
      <c r="N20" s="73">
        <f t="shared" si="2"/>
        <v>0</v>
      </c>
      <c r="O20" s="77"/>
      <c r="P20" s="77"/>
      <c r="Q20" s="73">
        <f t="shared" si="3"/>
        <v>0</v>
      </c>
      <c r="R20" s="77"/>
      <c r="S20" s="77"/>
      <c r="T20" s="73">
        <f t="shared" si="4"/>
        <v>0</v>
      </c>
      <c r="U20" s="79"/>
      <c r="V20" s="71"/>
      <c r="W20" s="73">
        <f t="shared" si="5"/>
        <v>0</v>
      </c>
      <c r="X20" s="80"/>
      <c r="Y20" s="81"/>
      <c r="Z20" s="73">
        <f t="shared" si="6"/>
        <v>0</v>
      </c>
      <c r="AA20" s="82"/>
      <c r="AB20" s="81"/>
      <c r="AC20" s="73">
        <f t="shared" si="7"/>
        <v>0</v>
      </c>
      <c r="AD20" s="71"/>
      <c r="AE20" s="71"/>
      <c r="AF20" s="73">
        <f t="shared" si="8"/>
        <v>0</v>
      </c>
      <c r="AG20" s="71"/>
      <c r="AH20" s="71"/>
      <c r="AI20" s="73">
        <f t="shared" si="9"/>
        <v>0</v>
      </c>
      <c r="AJ20" s="75"/>
      <c r="AK20" s="75"/>
      <c r="AL20" s="73">
        <f t="shared" si="10"/>
        <v>0</v>
      </c>
      <c r="AM20" s="83"/>
      <c r="AN20" s="83"/>
      <c r="AO20" s="73">
        <f t="shared" si="11"/>
        <v>0</v>
      </c>
      <c r="AP20" s="71"/>
      <c r="AQ20" s="71"/>
      <c r="AR20" s="73">
        <f t="shared" si="12"/>
        <v>0</v>
      </c>
      <c r="AS20" s="89">
        <f t="shared" si="13"/>
        <v>0</v>
      </c>
      <c r="AT20" s="90">
        <f t="shared" si="14"/>
        <v>16</v>
      </c>
      <c r="AU20" s="91">
        <f>AVERAGE(AS20,[1]Semestre1!AM20)</f>
        <v>6.43958333333333</v>
      </c>
    </row>
    <row r="21" spans="42:42">
      <c r="AP21" s="1"/>
    </row>
    <row r="22" spans="42:42">
      <c r="AP22" s="1"/>
    </row>
    <row r="23" spans="42:42">
      <c r="AP23" s="1"/>
    </row>
    <row r="24" spans="42:42">
      <c r="AP24" s="1"/>
    </row>
    <row r="25" spans="42:42">
      <c r="AP25" s="1"/>
    </row>
    <row r="26" spans="42:42">
      <c r="AP26" s="1"/>
    </row>
    <row r="27" spans="42:42">
      <c r="AP27" s="1"/>
    </row>
    <row r="28" spans="42:42">
      <c r="AP28" s="1"/>
    </row>
    <row r="29" spans="42:42">
      <c r="AP29" s="1"/>
    </row>
    <row r="30" spans="42:42">
      <c r="AP30" s="1"/>
    </row>
    <row r="31" spans="42:42">
      <c r="AP31" s="1"/>
    </row>
    <row r="32" spans="42:42">
      <c r="AP32" s="1"/>
    </row>
    <row r="33" spans="42:42">
      <c r="AP33" s="1"/>
    </row>
    <row r="34" spans="42:42">
      <c r="AP34" s="1"/>
    </row>
  </sheetData>
  <mergeCells count="19">
    <mergeCell ref="A1:E1"/>
    <mergeCell ref="F1:K1"/>
    <mergeCell ref="L1:T1"/>
    <mergeCell ref="U1:AC1"/>
    <mergeCell ref="AD1:AL1"/>
    <mergeCell ref="AM1:AR1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  <mergeCell ref="AJ2:AL2"/>
    <mergeCell ref="AM2:AO2"/>
    <mergeCell ref="AP2:AR2"/>
  </mergeCells>
  <conditionalFormatting sqref="F4">
    <cfRule type="expression" dxfId="2" priority="36">
      <formula>I$4=Moyenne</formula>
    </cfRule>
  </conditionalFormatting>
  <conditionalFormatting sqref="G4">
    <cfRule type="expression" dxfId="2" priority="44">
      <formula>#REF!=Moyenne</formula>
    </cfRule>
  </conditionalFormatting>
  <conditionalFormatting sqref="I4">
    <cfRule type="expression" dxfId="2" priority="46">
      <formula>#REF!=Moyenne</formula>
    </cfRule>
  </conditionalFormatting>
  <conditionalFormatting sqref="J4">
    <cfRule type="expression" dxfId="2" priority="35">
      <formula>W$4=Moyenne</formula>
    </cfRule>
  </conditionalFormatting>
  <conditionalFormatting sqref="K4">
    <cfRule type="expression" dxfId="2" priority="39">
      <formula>W$4=Moyenne</formula>
    </cfRule>
  </conditionalFormatting>
  <conditionalFormatting sqref="M4">
    <cfRule type="expression" dxfId="2" priority="32">
      <formula>AO$4=Moyenne</formula>
    </cfRule>
  </conditionalFormatting>
  <conditionalFormatting sqref="N4">
    <cfRule type="expression" dxfId="2" priority="33">
      <formula>AO$4=Moyenne</formula>
    </cfRule>
  </conditionalFormatting>
  <conditionalFormatting sqref="O4">
    <cfRule type="expression" dxfId="2" priority="15">
      <formula>AC$4=Moyenne</formula>
    </cfRule>
  </conditionalFormatting>
  <conditionalFormatting sqref="P4">
    <cfRule type="expression" dxfId="2" priority="16">
      <formula>AO$4=Moyenne</formula>
    </cfRule>
  </conditionalFormatting>
  <conditionalFormatting sqref="Q4">
    <cfRule type="expression" dxfId="2" priority="17">
      <formula>AO$4=Moyenne</formula>
    </cfRule>
  </conditionalFormatting>
  <conditionalFormatting sqref="R4">
    <cfRule type="expression" dxfId="2" priority="28">
      <formula>AF$4=Moyenne</formula>
    </cfRule>
  </conditionalFormatting>
  <conditionalFormatting sqref="S4">
    <cfRule type="expression" dxfId="2" priority="29">
      <formula>AR$4=Moyenne</formula>
    </cfRule>
  </conditionalFormatting>
  <conditionalFormatting sqref="W4">
    <cfRule type="expression" dxfId="2" priority="48">
      <formula>AT$4=Moyenne</formula>
    </cfRule>
  </conditionalFormatting>
  <conditionalFormatting sqref="X4">
    <cfRule type="expression" dxfId="2" priority="10">
      <formula>AL$4=Moyenne</formula>
    </cfRule>
  </conditionalFormatting>
  <conditionalFormatting sqref="AG4">
    <cfRule type="expression" dxfId="2" priority="6">
      <formula>AQ$4=Moyenne</formula>
    </cfRule>
  </conditionalFormatting>
  <conditionalFormatting sqref="AH4">
    <cfRule type="expression" dxfId="2" priority="7">
      <formula>AZ$4=Moyenne</formula>
    </cfRule>
  </conditionalFormatting>
  <conditionalFormatting sqref="AI4">
    <cfRule type="expression" dxfId="2" priority="8">
      <formula>AZ$4=Moyenne</formula>
    </cfRule>
  </conditionalFormatting>
  <conditionalFormatting sqref="AS4">
    <cfRule type="expression" dxfId="2" priority="41">
      <formula>#REF!=Moyenne</formula>
    </cfRule>
  </conditionalFormatting>
  <conditionalFormatting sqref="H4:H20">
    <cfRule type="expression" dxfId="2" priority="45">
      <formula>#REF!=Moyenne</formula>
    </cfRule>
  </conditionalFormatting>
  <conditionalFormatting sqref="K5:K20">
    <cfRule type="expression" dxfId="2" priority="26">
      <formula>N$4=Moyenne</formula>
    </cfRule>
  </conditionalFormatting>
  <conditionalFormatting sqref="N5:N20">
    <cfRule type="expression" dxfId="2" priority="25">
      <formula>W$4=Moyenne</formula>
    </cfRule>
  </conditionalFormatting>
  <conditionalFormatting sqref="Q5:Q20">
    <cfRule type="expression" dxfId="2" priority="14">
      <formula>W$4=Moyenne</formula>
    </cfRule>
  </conditionalFormatting>
  <conditionalFormatting sqref="T5:T20">
    <cfRule type="expression" dxfId="2" priority="24">
      <formula>AC$4=Moyenne</formula>
    </cfRule>
  </conditionalFormatting>
  <conditionalFormatting sqref="W5:W20">
    <cfRule type="expression" dxfId="2" priority="23">
      <formula>AF$4=Moyenne</formula>
    </cfRule>
  </conditionalFormatting>
  <conditionalFormatting sqref="Z5:Z20">
    <cfRule type="expression" dxfId="2" priority="9">
      <formula>AF$4=Moyenne</formula>
    </cfRule>
  </conditionalFormatting>
  <conditionalFormatting sqref="AB5:AB20">
    <cfRule type="expression" dxfId="2" priority="38">
      <formula>#REF!=Moyenne</formula>
    </cfRule>
  </conditionalFormatting>
  <conditionalFormatting sqref="AC5:AC20">
    <cfRule type="expression" dxfId="2" priority="22">
      <formula>AL$4=Moyenne</formula>
    </cfRule>
  </conditionalFormatting>
  <conditionalFormatting sqref="AD5:AD20">
    <cfRule type="expression" dxfId="2" priority="4">
      <formula>AK$4=Moyenne</formula>
    </cfRule>
  </conditionalFormatting>
  <conditionalFormatting sqref="AF5:AF20">
    <cfRule type="expression" dxfId="2" priority="21">
      <formula>AO$4=Moyenne</formula>
    </cfRule>
  </conditionalFormatting>
  <conditionalFormatting sqref="AI5:AI20">
    <cfRule type="expression" dxfId="2" priority="5">
      <formula>AO$4=Moyenne</formula>
    </cfRule>
  </conditionalFormatting>
  <conditionalFormatting sqref="AL5:AL20">
    <cfRule type="expression" dxfId="2" priority="20">
      <formula>AR$4=Moyenne</formula>
    </cfRule>
  </conditionalFormatting>
  <conditionalFormatting sqref="AO5:AO20">
    <cfRule type="expression" dxfId="2" priority="19">
      <formula>AU$4=Moyenne</formula>
    </cfRule>
  </conditionalFormatting>
  <conditionalFormatting sqref="AP5:AP20">
    <cfRule type="expression" dxfId="2" priority="1">
      <formula>AW$4=Moyenne</formula>
    </cfRule>
  </conditionalFormatting>
  <conditionalFormatting sqref="AQ5:AQ20">
    <cfRule type="expression" dxfId="2" priority="42">
      <formula>#REF!=Moyenne</formula>
    </cfRule>
  </conditionalFormatting>
  <conditionalFormatting sqref="AR5:AR20">
    <cfRule type="expression" dxfId="2" priority="18">
      <formula>AX$4=Moyenne</formula>
    </cfRule>
  </conditionalFormatting>
  <conditionalFormatting sqref="AS5:AS20">
    <cfRule type="expression" dxfId="2" priority="27">
      <formula>BB$4=Moyenne</formula>
    </cfRule>
  </conditionalFormatting>
  <conditionalFormatting sqref="L4;U4">
    <cfRule type="expression" dxfId="2" priority="31">
      <formula>AC$4=Moyenne</formula>
    </cfRule>
  </conditionalFormatting>
  <conditionalFormatting sqref="T4;V4">
    <cfRule type="expression" dxfId="2" priority="30">
      <formula>AR$4=Moyenne</formula>
    </cfRule>
  </conditionalFormatting>
  <conditionalFormatting sqref="Y4;AE4;AB4">
    <cfRule type="expression" dxfId="2" priority="12">
      <formula>AT$4=Moyenne</formula>
    </cfRule>
  </conditionalFormatting>
  <conditionalFormatting sqref="Z4;AF4;AC4">
    <cfRule type="expression" dxfId="2" priority="13">
      <formula>AT$4=Moyenne</formula>
    </cfRule>
  </conditionalFormatting>
  <conditionalFormatting sqref="AA4;AD4">
    <cfRule type="expression" dxfId="2" priority="34">
      <formula>AO$4=Moyenne</formula>
    </cfRule>
  </conditionalFormatting>
  <conditionalFormatting sqref="AM4;AP4;AJ4">
    <cfRule type="expression" dxfId="2" priority="37">
      <formula>AT$4=Moyenne</formula>
    </cfRule>
  </conditionalFormatting>
  <conditionalFormatting sqref="AK4;AN4;AQ4">
    <cfRule type="expression" dxfId="2" priority="40">
      <formula>BC$4=Moyenne</formula>
    </cfRule>
  </conditionalFormatting>
  <conditionalFormatting sqref="AL4;AO4;AR4">
    <cfRule type="expression" dxfId="2" priority="43">
      <formula>BC$4=Moyenne</formula>
    </cfRule>
  </conditionalFormatting>
  <conditionalFormatting sqref="V5:V20;AE5:AE20">
    <cfRule type="expression" dxfId="2" priority="47">
      <formula>AC$4=Moyenne</formula>
    </cfRule>
  </conditionalFormatting>
  <conditionalFormatting sqref="X5:Y20">
    <cfRule type="expression" dxfId="2" priority="11">
      <formula>#REF!=Moyenne</formula>
    </cfRule>
  </conditionalFormatting>
  <conditionalFormatting sqref="AG5:AH16">
    <cfRule type="expression" dxfId="2" priority="3">
      <formula>AN$4=Moyenne</formula>
    </cfRule>
  </conditionalFormatting>
  <conditionalFormatting sqref="AG17:AH20">
    <cfRule type="expression" dxfId="2" priority="2">
      <formula>AN$4=Moyenne</formula>
    </cfRule>
  </conditionalFormatting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7">
    <pageSetUpPr fitToPage="1"/>
  </sheetPr>
  <dimension ref="B1:F59"/>
  <sheetViews>
    <sheetView tabSelected="1" view="pageBreakPreview" zoomScale="85" zoomScaleNormal="80" topLeftCell="A34" workbookViewId="0">
      <selection activeCell="B8" sqref="B8"/>
    </sheetView>
  </sheetViews>
  <sheetFormatPr defaultColWidth="11" defaultRowHeight="15" outlineLevelCol="5"/>
  <cols>
    <col min="1" max="1" width="10.9047619047619" style="1"/>
    <col min="2" max="2" width="76.0857142857143" style="1" customWidth="1"/>
    <col min="3" max="3" width="25.7714285714286" style="2" customWidth="1"/>
    <col min="4" max="4" width="25.6761904761905" style="2" customWidth="1"/>
    <col min="5" max="5" width="24.5428571428571" style="1" customWidth="1"/>
    <col min="6" max="6" width="28.7714285714286" style="1" customWidth="1"/>
    <col min="7" max="16384" width="10.9047619047619" style="1"/>
  </cols>
  <sheetData>
    <row r="1" ht="214.1" customHeight="1" spans="2:6">
      <c r="B1" s="3" t="s">
        <v>81</v>
      </c>
      <c r="C1" s="4"/>
      <c r="D1" s="4"/>
      <c r="E1" s="4"/>
      <c r="F1" s="4"/>
    </row>
    <row r="2" ht="30.75" spans="2:6">
      <c r="B2" s="5"/>
      <c r="C2" s="6"/>
      <c r="D2" s="6"/>
      <c r="E2" s="7"/>
      <c r="F2" s="8" t="s">
        <v>82</v>
      </c>
    </row>
    <row r="3" ht="30" spans="2:6">
      <c r="B3" s="9" t="s">
        <v>83</v>
      </c>
      <c r="C3" s="9"/>
      <c r="D3" s="9"/>
      <c r="E3" s="9"/>
      <c r="F3" s="9"/>
    </row>
    <row r="4" ht="30" spans="2:6">
      <c r="B4" s="10"/>
      <c r="C4" s="10"/>
      <c r="D4" s="10"/>
      <c r="E4" s="10"/>
      <c r="F4" s="10"/>
    </row>
    <row r="5" ht="27" spans="2:6">
      <c r="B5" s="11" t="s">
        <v>84</v>
      </c>
      <c r="C5" s="11"/>
      <c r="D5" s="11"/>
      <c r="E5" s="11"/>
      <c r="F5" s="11"/>
    </row>
    <row r="6" ht="27" spans="2:6">
      <c r="B6" s="12" t="s">
        <v>164</v>
      </c>
      <c r="C6" s="12"/>
      <c r="D6" s="12"/>
      <c r="E6" s="12"/>
      <c r="F6" s="12"/>
    </row>
    <row r="8" ht="26.25" spans="2:3">
      <c r="B8" s="13" t="s">
        <v>136</v>
      </c>
      <c r="C8" s="14"/>
    </row>
    <row r="9" ht="21" spans="2:3">
      <c r="B9" s="15" t="s">
        <v>86</v>
      </c>
      <c r="C9" s="16">
        <f>VLOOKUP(B8,[1]Semestre1!$C$4:$E$20,3,0)</f>
        <v>0</v>
      </c>
    </row>
    <row r="10" ht="21" spans="2:3">
      <c r="B10" s="15" t="s">
        <v>87</v>
      </c>
      <c r="C10" s="16" t="str">
        <f>+VLOOKUP(B8,[1]Semestre1!$C$4:$E$20,2,0)</f>
        <v>Sénégalaise</v>
      </c>
    </row>
    <row r="11" ht="21" spans="2:3">
      <c r="B11" s="15"/>
      <c r="C11" s="17"/>
    </row>
    <row r="12" ht="26.25" spans="2:6">
      <c r="B12" s="18" t="s">
        <v>90</v>
      </c>
      <c r="C12" s="18"/>
      <c r="D12" s="18"/>
      <c r="E12" s="18"/>
      <c r="F12" s="18"/>
    </row>
    <row r="13" ht="22.95" customHeight="1" spans="2:6">
      <c r="B13" s="19"/>
      <c r="C13" s="20" t="s">
        <v>91</v>
      </c>
      <c r="D13" s="20"/>
      <c r="E13" s="20" t="s">
        <v>92</v>
      </c>
      <c r="F13" s="20" t="s">
        <v>25</v>
      </c>
    </row>
    <row r="14" ht="24.65" customHeight="1" spans="2:6">
      <c r="B14" s="19"/>
      <c r="C14" s="20">
        <v>1</v>
      </c>
      <c r="D14" s="20">
        <v>2</v>
      </c>
      <c r="E14" s="20"/>
      <c r="F14" s="20"/>
    </row>
    <row r="15" ht="22.2" customHeight="1" spans="2:6">
      <c r="B15" s="21" t="s">
        <v>165</v>
      </c>
      <c r="C15" s="22" t="e">
        <f>IF(SUMPRODUCT($E$16:$E$18,$F$16:$F$18)/SUM($E$16:$E$18)&gt;=12,"Validée","Non validée")</f>
        <v>#VALUE!</v>
      </c>
      <c r="D15" s="22"/>
      <c r="E15" s="22"/>
      <c r="F15" s="23"/>
    </row>
    <row r="16" ht="22.2" customHeight="1" spans="2:6">
      <c r="B16" s="24" t="s">
        <v>116</v>
      </c>
      <c r="C16" s="25" t="e">
        <f>SUMIF([1]Semestre1!$C$5:$C$20,bulletin_ISEP2!$B$8,[1]Semestre1!F$5:F$20)</f>
        <v>#VALUE!</v>
      </c>
      <c r="D16" s="26" t="e">
        <f>SUMIF([1]Semestre1!$C$5:$C$20,bulletin_ISEP2!$B$8,[1]Semestre1!G$5:G$20)</f>
        <v>#VALUE!</v>
      </c>
      <c r="E16" s="27">
        <v>3.5</v>
      </c>
      <c r="F16" s="25" t="e">
        <f>IF(D16=0,C16,AVERAGE(C16:D16))</f>
        <v>#VALUE!</v>
      </c>
    </row>
    <row r="17" ht="22.2" customHeight="1" spans="2:6">
      <c r="B17" s="24" t="s">
        <v>117</v>
      </c>
      <c r="C17" s="26" t="e">
        <f>SUMIF([1]Semestre1!$C$5:$C$20,bulletin_ISEP2!$B$8,[1]Semestre1!I$5:I$20)</f>
        <v>#VALUE!</v>
      </c>
      <c r="D17" s="25" t="e">
        <f>SUMIF([1]Semestre1!$C$5:$C$20,bulletin_ISEP2!$B$8,[1]Semestre1!J$5:J$20)</f>
        <v>#VALUE!</v>
      </c>
      <c r="E17" s="27">
        <v>3.5</v>
      </c>
      <c r="F17" s="25" t="e">
        <f t="shared" ref="F17:F30" si="0">IF(D17=0,C17,AVERAGE(C17:D17))</f>
        <v>#VALUE!</v>
      </c>
    </row>
    <row r="18" ht="22.2" customHeight="1" spans="2:6">
      <c r="B18" s="24" t="s">
        <v>118</v>
      </c>
      <c r="C18" s="26" t="e">
        <f>SUMIF([1]Semestre1!$C$5:$C$20,bulletin_ISEP2!$B$8,[1]Semestre1!L$5:L$20)</f>
        <v>#VALUE!</v>
      </c>
      <c r="D18" s="25" t="e">
        <f>SUMIF([1]Semestre1!$C$5:$C$20,bulletin_ISEP2!$B$8,[1]Semestre1!M$5:M$20)</f>
        <v>#VALUE!</v>
      </c>
      <c r="E18" s="27">
        <v>3</v>
      </c>
      <c r="F18" s="25" t="e">
        <f t="shared" si="0"/>
        <v>#VALUE!</v>
      </c>
    </row>
    <row r="19" ht="22.2" customHeight="1" spans="2:6">
      <c r="B19" s="21" t="s">
        <v>166</v>
      </c>
      <c r="C19" s="28" t="e">
        <f>IF(SUMPRODUCT($E$20:$E$21,$F$20:$F$21)/SUM($E$20:$E$21)&gt;=12,"Validée","Non validée")</f>
        <v>#VALUE!</v>
      </c>
      <c r="D19" s="28"/>
      <c r="E19" s="28"/>
      <c r="F19" s="29"/>
    </row>
    <row r="20" ht="22.2" customHeight="1" spans="2:6">
      <c r="B20" s="24" t="s">
        <v>119</v>
      </c>
      <c r="C20" s="25" t="e">
        <f>SUMIF([1]Semestre1!$C$5:$C$20,bulletin_ISEP2!$B$8,[1]Semestre1!O$5:O$20)</f>
        <v>#VALUE!</v>
      </c>
      <c r="D20" s="25" t="e">
        <f>SUMIF([1]Semestre1!$C$5:$C$20,bulletin_ISEP2!$B$8,[1]Semestre1!P$5:P$20)</f>
        <v>#VALUE!</v>
      </c>
      <c r="E20" s="30">
        <v>4</v>
      </c>
      <c r="F20" s="25" t="e">
        <f t="shared" si="0"/>
        <v>#VALUE!</v>
      </c>
    </row>
    <row r="21" ht="22.2" customHeight="1" spans="2:6">
      <c r="B21" s="24" t="s">
        <v>120</v>
      </c>
      <c r="C21" s="25" t="e">
        <f>SUMIF([1]Semestre1!$C$5:$C$20,bulletin_ISEP2!$B$8,[1]Semestre1!R$5:R$20)</f>
        <v>#VALUE!</v>
      </c>
      <c r="D21" s="25" t="e">
        <f>SUMIF([1]Semestre1!$C$5:$C$20,bulletin_ISEP2!$B$8,[1]Semestre1!S$5:S$20)</f>
        <v>#VALUE!</v>
      </c>
      <c r="E21" s="27">
        <v>3</v>
      </c>
      <c r="F21" s="25" t="e">
        <f t="shared" si="0"/>
        <v>#VALUE!</v>
      </c>
    </row>
    <row r="22" ht="22.2" customHeight="1" spans="2:6">
      <c r="B22" s="21" t="s">
        <v>167</v>
      </c>
      <c r="C22" s="28" t="e">
        <f>IF(SUMPRODUCT($E$23:$E$24,$F$23:$F$24)/SUM($E$23:$E$24)&gt;=12,"Validée","Non validée")</f>
        <v>#VALUE!</v>
      </c>
      <c r="D22" s="28"/>
      <c r="E22" s="28"/>
      <c r="F22" s="29"/>
    </row>
    <row r="23" ht="22.2" customHeight="1" spans="2:6">
      <c r="B23" s="24" t="s">
        <v>121</v>
      </c>
      <c r="C23" s="25" t="e">
        <f>SUMIF([1]Semestre1!$C$5:$C$20,bulletin_ISEP2!$B$8,[1]Semestre1!U$5:U$20)</f>
        <v>#VALUE!</v>
      </c>
      <c r="D23" s="25" t="e">
        <f>SUMIF([1]Semestre1!$C$5:$C$20,bulletin_ISEP2!$B$8,[1]Semestre1!V$5:V$20)</f>
        <v>#VALUE!</v>
      </c>
      <c r="E23" s="30">
        <v>2</v>
      </c>
      <c r="F23" s="25" t="e">
        <f t="shared" si="0"/>
        <v>#VALUE!</v>
      </c>
    </row>
    <row r="24" ht="22.2" customHeight="1" spans="2:6">
      <c r="B24" s="24" t="s">
        <v>122</v>
      </c>
      <c r="C24" s="25" t="e">
        <f>SUMIF([1]Semestre1!$C$5:$C$20,bulletin_ISEP2!$B$8,[1]Semestre1!X$5:X$20)</f>
        <v>#VALUE!</v>
      </c>
      <c r="D24" s="25" t="e">
        <f>SUMIF([1]Semestre1!$C$5:$C$20,bulletin_ISEP2!$B$8,[1]Semestre1!Y$5:Y$20)</f>
        <v>#VALUE!</v>
      </c>
      <c r="E24" s="27">
        <v>2</v>
      </c>
      <c r="F24" s="25" t="e">
        <f t="shared" si="0"/>
        <v>#VALUE!</v>
      </c>
    </row>
    <row r="25" ht="22.2" customHeight="1" spans="2:6">
      <c r="B25" s="21" t="s">
        <v>168</v>
      </c>
      <c r="C25" s="28" t="e">
        <f>IF(SUMPRODUCT($E$26:$E$27,$F$26:$F$27)/SUM($E$26:$E$27)&gt;=12,"Validée","Non validée")</f>
        <v>#VALUE!</v>
      </c>
      <c r="D25" s="28"/>
      <c r="E25" s="28"/>
      <c r="F25" s="29"/>
    </row>
    <row r="26" ht="22.2" customHeight="1" spans="2:6">
      <c r="B26" s="24" t="s">
        <v>123</v>
      </c>
      <c r="C26" s="25" t="e">
        <f>SUMIF([1]Semestre1!$C$5:$C$20,bulletin_ISEP2!$B$8,[1]Semestre1!AA$5:AA$20)</f>
        <v>#VALUE!</v>
      </c>
      <c r="D26" s="25" t="e">
        <f>SUMIF([1]Semestre1!$C$5:$C$20,bulletin_ISEP2!$B$8,[1]Semestre1!AB$5:AB$20)</f>
        <v>#VALUE!</v>
      </c>
      <c r="E26" s="30">
        <v>2.5</v>
      </c>
      <c r="F26" s="25" t="e">
        <f t="shared" si="0"/>
        <v>#VALUE!</v>
      </c>
    </row>
    <row r="27" ht="22.2" customHeight="1" spans="2:6">
      <c r="B27" s="24" t="s">
        <v>124</v>
      </c>
      <c r="C27" s="25" t="e">
        <f>SUMIF([1]Semestre1!$C$5:$C$20,bulletin_ISEP2!$B$8,[1]Semestre1!AD$5:AD$20)</f>
        <v>#VALUE!</v>
      </c>
      <c r="D27" s="25" t="e">
        <f>SUMIF([1]Semestre1!$C$5:$C$20,bulletin_ISEP2!$B$8,[1]Semestre1!AE$5:AE$20)</f>
        <v>#VALUE!</v>
      </c>
      <c r="E27" s="27">
        <v>2.5</v>
      </c>
      <c r="F27" s="25" t="e">
        <f t="shared" si="0"/>
        <v>#VALUE!</v>
      </c>
    </row>
    <row r="28" ht="22.2" customHeight="1" spans="2:6">
      <c r="B28" s="21" t="s">
        <v>169</v>
      </c>
      <c r="C28" s="28" t="e">
        <f>IF(SUMPRODUCT($E$29:$E$30,$F$29:$F$30)/SUM($E$29:$E$30)&gt;=12,"Validée","Non validée")</f>
        <v>#VALUE!</v>
      </c>
      <c r="D28" s="28"/>
      <c r="E28" s="28"/>
      <c r="F28" s="29"/>
    </row>
    <row r="29" ht="22.2" customHeight="1" spans="2:6">
      <c r="B29" s="24" t="s">
        <v>125</v>
      </c>
      <c r="C29" s="25" t="e">
        <f>+SUMIF([1]Semestre1!$C$5:$C$20,bulletin_ISEP2!$B$8,[1]Semestre1!AG$5:AG$20)</f>
        <v>#VALUE!</v>
      </c>
      <c r="D29" s="25" t="e">
        <f>+SUMIF([1]Semestre1!$C$5:$C$20,bulletin_ISEP2!$B$8,[1]Semestre1!AH$5:AH$20)</f>
        <v>#VALUE!</v>
      </c>
      <c r="E29" s="30">
        <v>2</v>
      </c>
      <c r="F29" s="25" t="e">
        <f t="shared" si="0"/>
        <v>#VALUE!</v>
      </c>
    </row>
    <row r="30" ht="22.2" customHeight="1" spans="2:6">
      <c r="B30" s="24" t="s">
        <v>126</v>
      </c>
      <c r="C30" s="25" t="e">
        <f>+SUMIF([1]Semestre1!$C$5:$C$20,bulletin_ISEP2!$B$8,[1]Semestre1!AJ$5:AJ$20)</f>
        <v>#VALUE!</v>
      </c>
      <c r="D30" s="25" t="e">
        <f>+SUMIF([1]Semestre1!$C$5:$C$20,bulletin_ISEP2!$B$8,[1]Semestre1!AK$5:AK$20)</f>
        <v>#VALUE!</v>
      </c>
      <c r="E30" s="27">
        <v>2</v>
      </c>
      <c r="F30" s="25" t="e">
        <f t="shared" si="0"/>
        <v>#VALUE!</v>
      </c>
    </row>
    <row r="31" ht="22.2" customHeight="1" spans="2:6">
      <c r="B31" s="31"/>
      <c r="C31" s="31"/>
      <c r="D31" s="31"/>
      <c r="E31" s="31"/>
      <c r="F31" s="31"/>
    </row>
    <row r="32" ht="22.2" customHeight="1" spans="2:6">
      <c r="B32" s="18" t="s">
        <v>98</v>
      </c>
      <c r="C32" s="18"/>
      <c r="D32" s="18"/>
      <c r="E32" s="18"/>
      <c r="F32" s="18"/>
    </row>
    <row r="33" ht="22.2" customHeight="1" spans="2:6">
      <c r="B33" s="21" t="s">
        <v>170</v>
      </c>
      <c r="C33" s="32" t="e">
        <f>IF(SUMPRODUCT($E$34:$E$35,$F$34:$F$35)/SUM($E$34:$E$35)&gt;=12,"Validée","Non validée")</f>
        <v>#VALUE!</v>
      </c>
      <c r="D33" s="32"/>
      <c r="E33" s="32"/>
      <c r="F33" s="33"/>
    </row>
    <row r="34" ht="22.2" customHeight="1" spans="2:6">
      <c r="B34" s="34" t="s">
        <v>171</v>
      </c>
      <c r="C34" s="25" t="e">
        <f>SUMIF([1]Semestre2!$C$5:$C$20,bulletin_ISEP2!$B$8,[1]Semestre2!F$5:F$20)</f>
        <v>#VALUE!</v>
      </c>
      <c r="D34" s="25" t="e">
        <f>SUMIF([1]Semestre2!$C$5:$C$20,bulletin_ISEP2!$B$8,[1]Semestre2!G$5:G$20)</f>
        <v>#VALUE!</v>
      </c>
      <c r="E34" s="35">
        <v>3</v>
      </c>
      <c r="F34" s="25" t="e">
        <f>IF(D34=0,C34,AVERAGE(C34:D34))</f>
        <v>#VALUE!</v>
      </c>
    </row>
    <row r="35" ht="22.2" customHeight="1" spans="2:6">
      <c r="B35" s="24" t="s">
        <v>151</v>
      </c>
      <c r="C35" s="25" t="e">
        <f>SUMIF([1]Semestre2!$C$5:$C$20,bulletin_ISEP2!$B$8,[1]Semestre2!I$5:I$20)</f>
        <v>#VALUE!</v>
      </c>
      <c r="D35" s="25" t="e">
        <f>SUMIF([1]Semestre2!$C$5:$C$20,bulletin_ISEP2!$B$8,[1]Semestre2!J$5:J$20)</f>
        <v>#VALUE!</v>
      </c>
      <c r="E35" s="36">
        <v>2</v>
      </c>
      <c r="F35" s="25" t="e">
        <f t="shared" ref="F35:F50" si="1">IF(D35=0,C35,AVERAGE(C35:D35))</f>
        <v>#VALUE!</v>
      </c>
    </row>
    <row r="36" ht="22.2" customHeight="1" spans="2:6">
      <c r="B36" s="21" t="s">
        <v>172</v>
      </c>
      <c r="C36" s="37" t="e">
        <f>IF(SUMPRODUCT($E$37:$E$39,$F$37:$F$39)/SUM($E$37:$E$39)&gt;=12,"Validée","Non validée")</f>
        <v>#VALUE!</v>
      </c>
      <c r="D36" s="37"/>
      <c r="E36" s="37"/>
      <c r="F36" s="38"/>
    </row>
    <row r="37" ht="22.2" customHeight="1" spans="2:6">
      <c r="B37" s="34" t="s">
        <v>152</v>
      </c>
      <c r="C37" s="25" t="e">
        <f>SUMIF([1]Semestre2!$C$5:$C$20,bulletin_ISEP2!$B$8,[1]Semestre2!L$5:L$20)</f>
        <v>#VALUE!</v>
      </c>
      <c r="D37" s="25" t="e">
        <f>SUMIF([1]Semestre2!$C$5:$C$20,bulletin_ISEP2!$B$8,[1]Semestre2!M$5:M$20)</f>
        <v>#VALUE!</v>
      </c>
      <c r="E37" s="35">
        <v>3.5</v>
      </c>
      <c r="F37" s="25" t="e">
        <f t="shared" si="1"/>
        <v>#VALUE!</v>
      </c>
    </row>
    <row r="38" ht="22.2" customHeight="1" spans="2:6">
      <c r="B38" s="24" t="s">
        <v>153</v>
      </c>
      <c r="C38" s="25" t="e">
        <f>SUMIF([1]Semestre2!$C$5:$C$20,bulletin_ISEP2!$B$8,[1]Semestre2!O$5:O$20)</f>
        <v>#VALUE!</v>
      </c>
      <c r="D38" s="25" t="e">
        <f>SUMIF([1]Semestre2!$C$5:$C$20,bulletin_ISEP2!$B$8,[1]Semestre2!P$5:P$20)</f>
        <v>#VALUE!</v>
      </c>
      <c r="E38" s="36">
        <v>2.5</v>
      </c>
      <c r="F38" s="25" t="e">
        <f t="shared" si="1"/>
        <v>#VALUE!</v>
      </c>
    </row>
    <row r="39" ht="22.2" customHeight="1" spans="2:6">
      <c r="B39" s="24" t="s">
        <v>154</v>
      </c>
      <c r="C39" s="25" t="e">
        <f>SUMIF([1]Semestre2!$C$5:$C$20,bulletin_ISEP2!$B$8,[1]Semestre2!R$5:R$20)</f>
        <v>#VALUE!</v>
      </c>
      <c r="D39" s="25" t="e">
        <f>SUMIF([1]Semestre2!$C$5:$C$20,bulletin_ISEP2!$B$8,[1]Semestre2!S$5:S$20)</f>
        <v>#VALUE!</v>
      </c>
      <c r="E39" s="36">
        <v>2</v>
      </c>
      <c r="F39" s="25" t="e">
        <f t="shared" si="1"/>
        <v>#VALUE!</v>
      </c>
    </row>
    <row r="40" ht="22.2" customHeight="1" spans="2:6">
      <c r="B40" s="21" t="s">
        <v>173</v>
      </c>
      <c r="C40" s="37" t="e">
        <f>IF(SUMPRODUCT($E$41:$E$43,$F$41:$F$43)/SUM($E$41:$E$43)&gt;=12,"Validée","Non validée")</f>
        <v>#VALUE!</v>
      </c>
      <c r="D40" s="37"/>
      <c r="E40" s="37"/>
      <c r="F40" s="38"/>
    </row>
    <row r="41" ht="22.2" customHeight="1" spans="2:6">
      <c r="B41" s="34" t="s">
        <v>155</v>
      </c>
      <c r="C41" s="25" t="e">
        <f>SUMIF([1]Semestre2!$C$5:$C$20,bulletin_ISEP2!$B$8,[1]Semestre2!U$5:U$20)</f>
        <v>#VALUE!</v>
      </c>
      <c r="D41" s="25" t="e">
        <f>SUMIF([1]Semestre2!$C$5:$C$20,bulletin_ISEP2!$B$8,[1]Semestre2!V$5:V$20)</f>
        <v>#VALUE!</v>
      </c>
      <c r="E41" s="35">
        <v>1.5</v>
      </c>
      <c r="F41" s="25" t="e">
        <f t="shared" si="1"/>
        <v>#VALUE!</v>
      </c>
    </row>
    <row r="42" ht="22.2" customHeight="1" spans="2:6">
      <c r="B42" s="24" t="s">
        <v>156</v>
      </c>
      <c r="C42" s="25" t="e">
        <f>SUMIF([1]Semestre2!$C$5:$C$20,bulletin_ISEP2!$B$8,[1]Semestre2!X$5:X$20)</f>
        <v>#VALUE!</v>
      </c>
      <c r="D42" s="25" t="e">
        <f>SUMIF([1]Semestre2!$C$5:$C$20,bulletin_ISEP2!$B$8,[1]Semestre2!Y$5:Y$20)</f>
        <v>#VALUE!</v>
      </c>
      <c r="E42" s="36">
        <v>1</v>
      </c>
      <c r="F42" s="25" t="e">
        <f t="shared" si="1"/>
        <v>#VALUE!</v>
      </c>
    </row>
    <row r="43" ht="22.2" customHeight="1" spans="2:6">
      <c r="B43" s="24" t="s">
        <v>157</v>
      </c>
      <c r="C43" s="25" t="e">
        <f>SUMIF([1]Semestre2!$C$5:$C$20,bulletin_ISEP2!$B$8,[1]Semestre2!AA$5:AA$20)</f>
        <v>#VALUE!</v>
      </c>
      <c r="D43" s="25" t="e">
        <f>SUMIF([1]Semestre2!$C$5:$C$20,bulletin_ISEP2!$B$8,[1]Semestre2!AB$5:AB$20)</f>
        <v>#VALUE!</v>
      </c>
      <c r="E43" s="36">
        <v>1.5</v>
      </c>
      <c r="F43" s="25" t="e">
        <f t="shared" si="1"/>
        <v>#VALUE!</v>
      </c>
    </row>
    <row r="44" ht="22.2" customHeight="1" spans="2:6">
      <c r="B44" s="21" t="s">
        <v>174</v>
      </c>
      <c r="C44" s="37" t="e">
        <f>IF(SUMPRODUCT($E$45:$E$47,$F$45:$F$47)/SUM($E$45:$E$47)&gt;=12,"Validée","Non validée")</f>
        <v>#VALUE!</v>
      </c>
      <c r="D44" s="37"/>
      <c r="E44" s="37"/>
      <c r="F44" s="38"/>
    </row>
    <row r="45" ht="22.2" customHeight="1" spans="2:6">
      <c r="B45" s="34" t="s">
        <v>158</v>
      </c>
      <c r="C45" s="25" t="e">
        <f>SUMIF([1]Semestre2!$C$5:$C$20,bulletin_ISEP2!$B$8,[1]Semestre2!AD$5:AD$20)</f>
        <v>#VALUE!</v>
      </c>
      <c r="D45" s="25" t="e">
        <f>SUMIF([1]Semestre2!$C$5:$C$20,bulletin_ISEP2!$B$8,[1]Semestre2!AE$5:AE$20)</f>
        <v>#VALUE!</v>
      </c>
      <c r="E45" s="35">
        <v>3</v>
      </c>
      <c r="F45" s="25" t="e">
        <f t="shared" si="1"/>
        <v>#VALUE!</v>
      </c>
    </row>
    <row r="46" ht="22.2" customHeight="1" spans="2:6">
      <c r="B46" s="24" t="s">
        <v>159</v>
      </c>
      <c r="C46" s="25" t="e">
        <f>SUMIF([1]Semestre2!$C$5:$C$20,bulletin_ISEP2!$B$8,[1]Semestre2!AG$5:AG$20)</f>
        <v>#VALUE!</v>
      </c>
      <c r="D46" s="25" t="e">
        <f>SUMIF([1]Semestre2!$C$5:$C$20,bulletin_ISEP2!$B$8,[1]Semestre2!AH$5:AH$20)</f>
        <v>#VALUE!</v>
      </c>
      <c r="E46" s="36">
        <v>3</v>
      </c>
      <c r="F46" s="25" t="e">
        <f t="shared" si="1"/>
        <v>#VALUE!</v>
      </c>
    </row>
    <row r="47" ht="22.2" customHeight="1" spans="2:6">
      <c r="B47" s="24" t="s">
        <v>160</v>
      </c>
      <c r="C47" s="25" t="e">
        <f>SUMIF([1]Semestre2!$C$5:$C$20,bulletin_ISEP2!$B$8,[1]Semestre2!AJ$5:AJ$20)</f>
        <v>#VALUE!</v>
      </c>
      <c r="D47" s="25" t="e">
        <f>SUMIF([1]Semestre2!$C$5:$C$20,bulletin_ISEP2!$B$8,[1]Semestre2!AK$5:AK$20)</f>
        <v>#VALUE!</v>
      </c>
      <c r="E47" s="36">
        <v>3</v>
      </c>
      <c r="F47" s="25" t="e">
        <f t="shared" si="1"/>
        <v>#VALUE!</v>
      </c>
    </row>
    <row r="48" ht="22.2" customHeight="1" spans="2:6">
      <c r="B48" s="21" t="s">
        <v>175</v>
      </c>
      <c r="C48" s="37" t="e">
        <f>IF(SUMPRODUCT($E$49:$E$50,$F$49:$F$50)/SUM($E$49:$E$50)&gt;=12,"Validée","Non validée")</f>
        <v>#VALUE!</v>
      </c>
      <c r="D48" s="37"/>
      <c r="E48" s="37"/>
      <c r="F48" s="38"/>
    </row>
    <row r="49" ht="22.2" customHeight="1" spans="2:6">
      <c r="B49" s="34" t="s">
        <v>161</v>
      </c>
      <c r="C49" s="25" t="e">
        <f>+SUMIF([1]Semestre2!$C$5:$C$20,bulletin_ISEP2!$B$8,[1]Semestre2!AM$5:AM$20)</f>
        <v>#VALUE!</v>
      </c>
      <c r="D49" s="25" t="e">
        <f>+SUMIF([1]Semestre2!$C$5:$C$20,bulletin_ISEP2!$B$8,[1]Semestre2!AN$5:AN$20)</f>
        <v>#VALUE!</v>
      </c>
      <c r="E49" s="35">
        <v>2</v>
      </c>
      <c r="F49" s="25" t="e">
        <f t="shared" si="1"/>
        <v>#VALUE!</v>
      </c>
    </row>
    <row r="50" ht="22.2" customHeight="1" spans="2:6">
      <c r="B50" s="24" t="s">
        <v>162</v>
      </c>
      <c r="C50" s="25" t="e">
        <f>+SUMIF([1]Semestre2!$C$5:$C$20,bulletin_ISEP2!$B$8,[1]Semestre2!AP$5:AP$20)</f>
        <v>#VALUE!</v>
      </c>
      <c r="D50" s="25" t="e">
        <f>+SUMIF([1]Semestre2!$C$5:$C$20,bulletin_ISEP2!$B$8,[1]Semestre2!AQ$5:AQ$20)</f>
        <v>#VALUE!</v>
      </c>
      <c r="E50" s="36">
        <v>2</v>
      </c>
      <c r="F50" s="25" t="e">
        <f t="shared" si="1"/>
        <v>#VALUE!</v>
      </c>
    </row>
    <row r="51" ht="22.2" customHeight="1" spans="2:6">
      <c r="B51" s="39" t="s">
        <v>105</v>
      </c>
      <c r="C51" s="40"/>
      <c r="D51" s="41"/>
      <c r="E51" s="42"/>
      <c r="F51" s="43">
        <v>0</v>
      </c>
    </row>
    <row r="52" ht="22.2" customHeight="1" spans="2:6">
      <c r="B52" s="44" t="s">
        <v>106</v>
      </c>
      <c r="C52" s="45"/>
      <c r="D52" s="46"/>
      <c r="E52" s="47"/>
      <c r="F52" s="48" t="e">
        <f>+SUMIF([1]Semestre2!$C$5:$C$20,bulletin_ISEP2!$B$8,[1]Semestre2!AU$5:AU$20)-$F$51</f>
        <v>#VALUE!</v>
      </c>
    </row>
    <row r="53" ht="22.2" customHeight="1" spans="2:6">
      <c r="B53" s="49" t="s">
        <v>107</v>
      </c>
      <c r="C53" s="50" t="e">
        <f>+SUMIF([1]Semestre2!$C$5:$C$20,bulletin_ISEP2!$B$8,[1]Semestre2!AT$5:AT$20)</f>
        <v>#VALUE!</v>
      </c>
      <c r="D53" s="51" t="s">
        <v>176</v>
      </c>
      <c r="E53" s="52"/>
      <c r="F53" s="52"/>
    </row>
    <row r="54" ht="22.2" customHeight="1" spans="2:6">
      <c r="B54" s="49" t="s">
        <v>109</v>
      </c>
      <c r="C54" s="53" t="e">
        <f>+IF(F52&gt;12,"Admis en troisième année ISEP","Autorisé à redoubler")</f>
        <v>#VALUE!</v>
      </c>
      <c r="D54" s="53"/>
      <c r="E54" s="53"/>
      <c r="F54" s="52"/>
    </row>
    <row r="55" ht="22.2" customHeight="1" spans="2:6">
      <c r="B55" s="54" t="s">
        <v>110</v>
      </c>
      <c r="C55" s="55">
        <v>0</v>
      </c>
      <c r="D55" s="52"/>
      <c r="E55" s="52"/>
      <c r="F55" s="52"/>
    </row>
    <row r="56" ht="21" spans="2:6">
      <c r="B56" s="56"/>
      <c r="C56" s="57"/>
      <c r="D56" s="58" t="s">
        <v>111</v>
      </c>
      <c r="E56" s="59" t="str">
        <f ca="1">TEXT(TODAY(),"jj mmmm aaaa")</f>
        <v>jj November Saturday</v>
      </c>
      <c r="F56" s="15"/>
    </row>
    <row r="57" ht="28.2" customHeight="1" spans="2:6">
      <c r="B57" s="56"/>
      <c r="C57" s="57"/>
      <c r="D57" s="58"/>
      <c r="E57" s="56"/>
      <c r="F57" s="56"/>
    </row>
    <row r="58" ht="28.2" customHeight="1"/>
    <row r="59" ht="88.2" customHeight="1"/>
  </sheetData>
  <mergeCells count="24">
    <mergeCell ref="B1:F1"/>
    <mergeCell ref="B3:F3"/>
    <mergeCell ref="B5:F5"/>
    <mergeCell ref="B6:F6"/>
    <mergeCell ref="B12:F12"/>
    <mergeCell ref="C13:D13"/>
    <mergeCell ref="C15:F15"/>
    <mergeCell ref="C19:F19"/>
    <mergeCell ref="C22:F22"/>
    <mergeCell ref="C25:F25"/>
    <mergeCell ref="C28:F28"/>
    <mergeCell ref="B31:F31"/>
    <mergeCell ref="B32:F32"/>
    <mergeCell ref="C33:F33"/>
    <mergeCell ref="C36:F36"/>
    <mergeCell ref="C40:F40"/>
    <mergeCell ref="C44:F44"/>
    <mergeCell ref="C48:F48"/>
    <mergeCell ref="C51:E51"/>
    <mergeCell ref="C52:E52"/>
    <mergeCell ref="C54:E54"/>
    <mergeCell ref="B13:B14"/>
    <mergeCell ref="E13:E14"/>
    <mergeCell ref="F13:F14"/>
  </mergeCells>
  <conditionalFormatting sqref="C13">
    <cfRule type="expression" dxfId="2" priority="25">
      <formula>M$4=Moyenne</formula>
    </cfRule>
  </conditionalFormatting>
  <conditionalFormatting sqref="C16">
    <cfRule type="expression" dxfId="1" priority="24">
      <formula>ISBLANK(C16)</formula>
    </cfRule>
  </conditionalFormatting>
  <conditionalFormatting sqref="C20:C21">
    <cfRule type="expression" dxfId="1" priority="21">
      <formula>ISBLANK(C20)</formula>
    </cfRule>
  </conditionalFormatting>
  <conditionalFormatting sqref="C23:C24">
    <cfRule type="expression" dxfId="1" priority="18">
      <formula>ISBLANK(C23)</formula>
    </cfRule>
  </conditionalFormatting>
  <conditionalFormatting sqref="C26:C27">
    <cfRule type="expression" dxfId="1" priority="15">
      <formula>ISBLANK(C26)</formula>
    </cfRule>
  </conditionalFormatting>
  <conditionalFormatting sqref="D17:D18">
    <cfRule type="expression" dxfId="1" priority="23">
      <formula>ISBLANK(D17)</formula>
    </cfRule>
  </conditionalFormatting>
  <conditionalFormatting sqref="D20:D21">
    <cfRule type="expression" dxfId="1" priority="20">
      <formula>ISBLANK(D20)</formula>
    </cfRule>
  </conditionalFormatting>
  <conditionalFormatting sqref="D23:D24">
    <cfRule type="expression" dxfId="1" priority="17">
      <formula>ISBLANK(D23)</formula>
    </cfRule>
  </conditionalFormatting>
  <conditionalFormatting sqref="D26:D27">
    <cfRule type="expression" dxfId="1" priority="14">
      <formula>ISBLANK(D26)</formula>
    </cfRule>
  </conditionalFormatting>
  <conditionalFormatting sqref="F16:F18">
    <cfRule type="expression" dxfId="1" priority="22">
      <formula>ISBLANK(F16)</formula>
    </cfRule>
  </conditionalFormatting>
  <conditionalFormatting sqref="F20:F21">
    <cfRule type="expression" dxfId="1" priority="19">
      <formula>ISBLANK(F20)</formula>
    </cfRule>
  </conditionalFormatting>
  <conditionalFormatting sqref="F23:F24">
    <cfRule type="expression" dxfId="1" priority="16">
      <formula>ISBLANK(F23)</formula>
    </cfRule>
  </conditionalFormatting>
  <conditionalFormatting sqref="F26:F27">
    <cfRule type="expression" dxfId="1" priority="13">
      <formula>ISBLANK(F26)</formula>
    </cfRule>
  </conditionalFormatting>
  <conditionalFormatting sqref="F29:F30">
    <cfRule type="expression" dxfId="1" priority="11">
      <formula>ISBLANK(F29)</formula>
    </cfRule>
  </conditionalFormatting>
  <conditionalFormatting sqref="F34:F35">
    <cfRule type="expression" dxfId="1" priority="9">
      <formula>ISBLANK(F34)</formula>
    </cfRule>
  </conditionalFormatting>
  <conditionalFormatting sqref="F37:F39">
    <cfRule type="expression" dxfId="1" priority="7">
      <formula>ISBLANK(F37)</formula>
    </cfRule>
  </conditionalFormatting>
  <conditionalFormatting sqref="F41:F43">
    <cfRule type="expression" dxfId="1" priority="5">
      <formula>ISBLANK(F41)</formula>
    </cfRule>
  </conditionalFormatting>
  <conditionalFormatting sqref="F45:F47">
    <cfRule type="expression" dxfId="1" priority="3">
      <formula>ISBLANK(F45)</formula>
    </cfRule>
  </conditionalFormatting>
  <conditionalFormatting sqref="F49:F51">
    <cfRule type="expression" dxfId="1" priority="1">
      <formula>ISBLANK(F49)</formula>
    </cfRule>
  </conditionalFormatting>
  <conditionalFormatting sqref="C29:D30">
    <cfRule type="expression" dxfId="1" priority="12">
      <formula>ISBLANK(C29)</formula>
    </cfRule>
  </conditionalFormatting>
  <conditionalFormatting sqref="C34:D35">
    <cfRule type="expression" dxfId="1" priority="10">
      <formula>ISBLANK(C34)</formula>
    </cfRule>
  </conditionalFormatting>
  <conditionalFormatting sqref="C37:D39">
    <cfRule type="expression" dxfId="1" priority="8">
      <formula>ISBLANK(C37)</formula>
    </cfRule>
  </conditionalFormatting>
  <conditionalFormatting sqref="C41:D43">
    <cfRule type="expression" dxfId="1" priority="6">
      <formula>ISBLANK(C41)</formula>
    </cfRule>
  </conditionalFormatting>
  <conditionalFormatting sqref="C45:D47">
    <cfRule type="expression" dxfId="1" priority="4">
      <formula>ISBLANK(C45)</formula>
    </cfRule>
  </conditionalFormatting>
  <conditionalFormatting sqref="C49:D50">
    <cfRule type="expression" dxfId="1" priority="2">
      <formula>ISBLANK(C49)</formula>
    </cfRule>
  </conditionalFormatting>
  <dataValidations count="1">
    <dataValidation type="list" allowBlank="1" showInputMessage="1" showErrorMessage="1" sqref="B8">
      <formula1>[1]Semestre1!#REF!</formula1>
    </dataValidation>
  </dataValidations>
  <pageMargins left="0.984251968503937" right="0.984251968503937" top="0.984251968503937" bottom="0.984251968503937" header="0.511811023622047" footer="0.511811023622047"/>
  <pageSetup paperSize="9" scale="44" orientation="portrait"/>
  <headerFooter/>
  <drawing r:id="rId1"/>
  <legacyDrawing r:id="rId2"/>
  <controls>
    <mc:AlternateContent xmlns:mc="http://schemas.openxmlformats.org/markup-compatibility/2006">
      <mc:Choice Requires="x14">
        <control shapeId="10242" r:id="rId3">
          <controlPr defaultSize="0" r:id="rId4">
            <anchor moveWithCells="1">
              <from>
                <xdr:col>8</xdr:col>
                <xdr:colOff>196850</xdr:colOff>
                <xdr:row>17</xdr:row>
                <xdr:rowOff>76200</xdr:rowOff>
              </from>
              <to>
                <xdr:col>13</xdr:col>
                <xdr:colOff>174625</xdr:colOff>
                <xdr:row>22</xdr:row>
                <xdr:rowOff>44450</xdr:rowOff>
              </to>
            </anchor>
          </controlPr>
        </control>
      </mc:Choice>
      <mc:Fallback>
        <control shapeId="10242" r:id="rId3"/>
      </mc:Fallback>
    </mc:AlternateContent>
    <mc:AlternateContent xmlns:mc="http://schemas.openxmlformats.org/markup-compatibility/2006">
      <mc:Choice Requires="x14">
        <control shapeId="10241" name="Button 1" r:id="rId5">
          <controlPr print="0" defaultSize="0">
            <anchor moveWithCells="1" sizeWithCells="1">
              <from>
                <xdr:col>8</xdr:col>
                <xdr:colOff>212725</xdr:colOff>
                <xdr:row>8</xdr:row>
                <xdr:rowOff>152400</xdr:rowOff>
              </from>
              <to>
                <xdr:col>13</xdr:col>
                <xdr:colOff>327025</xdr:colOff>
                <xdr:row>12</xdr:row>
                <xdr:rowOff>234950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Semestre1</vt:lpstr>
      <vt:lpstr>Feuil1 (2)</vt:lpstr>
      <vt:lpstr>Semestre2</vt:lpstr>
      <vt:lpstr>bulletin_ISEP1</vt:lpstr>
      <vt:lpstr>Semestre3</vt:lpstr>
      <vt:lpstr>Semestre4</vt:lpstr>
      <vt:lpstr>bulletin_ISEP2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balde</dc:creator>
  <cp:lastModifiedBy>SMART</cp:lastModifiedBy>
  <dcterms:created xsi:type="dcterms:W3CDTF">2021-10-22T11:27:00Z</dcterms:created>
  <cp:lastPrinted>2024-02-08T22:23:00Z</cp:lastPrinted>
  <dcterms:modified xsi:type="dcterms:W3CDTF">2024-11-02T03:14:16Z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49BCDBF3825C4301B7C1E09DAAB402D1_12</vt:lpwstr>
  </property>
  <property fmtid="{D5CDD505-2E9C-101B-9397-08002B2CF9AE}" pid="3" name="KSOProductBuildVer">
    <vt:lpwstr>1033-12.2.0.18607</vt:lpwstr>
  </property>
</Properties>
</file>